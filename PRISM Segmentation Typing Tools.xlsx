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E2777C86B94F1AA8/Desktop/"/>
    </mc:Choice>
  </mc:AlternateContent>
  <xr:revisionPtr revIDLastSave="7" documentId="14_{D4016DED-2653-4C71-9A78-A6D44853F974}" xr6:coauthVersionLast="47" xr6:coauthVersionMax="47" xr10:uidLastSave="{D1323979-3389-47F6-9523-937B236F4DA1}"/>
  <bookViews>
    <workbookView xWindow="5070" yWindow="630" windowWidth="29910" windowHeight="20970" xr2:uid="{0B17159C-1A6C-4271-B601-846520AFD748}"/>
  </bookViews>
  <sheets>
    <sheet name="FINAL TYPING TOOL" sheetId="14" r:id="rId1"/>
    <sheet name="GOP DESIGN MATRIX" sheetId="1" r:id="rId2"/>
    <sheet name="GOP LOGIT" sheetId="5" r:id="rId3"/>
    <sheet name="GOP CLUSTER CANON" sheetId="3" r:id="rId4"/>
    <sheet name="DEM CLUSTER CANON" sheetId="9" r:id="rId5"/>
    <sheet name="FORMULA" sheetId="12" r:id="rId6"/>
    <sheet name="VECTORS" sheetId="10" r:id="rId7"/>
    <sheet name="GOP TYPE DRAFT" sheetId="8" r:id="rId8"/>
    <sheet name="DRAFT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14" l="1"/>
  <c r="T90" i="14" s="1"/>
  <c r="X90" i="14" s="1"/>
  <c r="X17" i="14"/>
  <c r="T88" i="14" s="1"/>
  <c r="X88" i="14" s="1"/>
  <c r="X16" i="14"/>
  <c r="T77" i="14" s="1"/>
  <c r="X77" i="14" s="1"/>
  <c r="T148" i="14" s="1"/>
  <c r="X15" i="14"/>
  <c r="T75" i="14" s="1"/>
  <c r="X75" i="14" s="1"/>
  <c r="T147" i="14" s="1"/>
  <c r="X8" i="14"/>
  <c r="X9" i="14"/>
  <c r="X7" i="14"/>
  <c r="T71" i="14" s="1"/>
  <c r="T72" i="14"/>
  <c r="T73" i="14"/>
  <c r="X21" i="14"/>
  <c r="T69" i="14" s="1"/>
  <c r="X69" i="14" s="1"/>
  <c r="T146" i="14" s="1"/>
  <c r="T56" i="14"/>
  <c r="X56" i="14" s="1"/>
  <c r="T57" i="14"/>
  <c r="X57" i="14" s="1"/>
  <c r="T58" i="14"/>
  <c r="X58" i="14" s="1"/>
  <c r="T59" i="14"/>
  <c r="X59" i="14" s="1"/>
  <c r="T60" i="14"/>
  <c r="X60" i="14" s="1"/>
  <c r="T61" i="14"/>
  <c r="X61" i="14" s="1"/>
  <c r="T62" i="14"/>
  <c r="X62" i="14" s="1"/>
  <c r="T63" i="14"/>
  <c r="X63" i="14" s="1"/>
  <c r="T64" i="14"/>
  <c r="X64" i="14" s="1"/>
  <c r="T55" i="14"/>
  <c r="X55" i="14" s="1"/>
  <c r="T54" i="14"/>
  <c r="X54" i="14" s="1"/>
  <c r="T53" i="14"/>
  <c r="X53" i="14" s="1"/>
  <c r="T39" i="14"/>
  <c r="X39" i="14" s="1"/>
  <c r="T40" i="14"/>
  <c r="X40" i="14" s="1"/>
  <c r="T41" i="14"/>
  <c r="X41" i="14" s="1"/>
  <c r="T42" i="14"/>
  <c r="X42" i="14" s="1"/>
  <c r="T43" i="14"/>
  <c r="X43" i="14" s="1"/>
  <c r="T44" i="14"/>
  <c r="X44" i="14" s="1"/>
  <c r="T45" i="14"/>
  <c r="X45" i="14" s="1"/>
  <c r="T46" i="14"/>
  <c r="X46" i="14" s="1"/>
  <c r="T47" i="14"/>
  <c r="X47" i="14" s="1"/>
  <c r="T38" i="14"/>
  <c r="X38" i="14" s="1"/>
  <c r="X29" i="14"/>
  <c r="X30" i="14"/>
  <c r="T83" i="14" s="1"/>
  <c r="X31" i="14"/>
  <c r="T85" i="14" s="1"/>
  <c r="X32" i="14"/>
  <c r="T86" i="14" s="1"/>
  <c r="X28" i="14"/>
  <c r="T81" i="14"/>
  <c r="S81" i="14"/>
  <c r="S86" i="14"/>
  <c r="S88" i="14"/>
  <c r="S176" i="14"/>
  <c r="S177" i="14"/>
  <c r="S175" i="14"/>
  <c r="S178" i="14"/>
  <c r="S82" i="14"/>
  <c r="S83" i="14"/>
  <c r="S85" i="14"/>
  <c r="S90" i="14"/>
  <c r="X85" i="14" l="1"/>
  <c r="X71" i="14"/>
  <c r="T145" i="14" s="1"/>
  <c r="T82" i="14"/>
  <c r="X81" i="14" s="1"/>
  <c r="T175" i="14" s="1"/>
  <c r="T178" i="14"/>
  <c r="T177" i="14"/>
  <c r="T176" i="14"/>
  <c r="T131" i="14"/>
  <c r="U131" i="14" s="1"/>
  <c r="T132" i="14"/>
  <c r="AD132" i="14" s="1"/>
  <c r="T130" i="14"/>
  <c r="T129" i="14"/>
  <c r="V129" i="14" s="1"/>
  <c r="T128" i="14"/>
  <c r="T127" i="14"/>
  <c r="U127" i="14" s="1"/>
  <c r="T126" i="14"/>
  <c r="X126" i="14" s="1"/>
  <c r="T125" i="14"/>
  <c r="AB125" i="14" s="1"/>
  <c r="T124" i="14"/>
  <c r="AB124" i="14" s="1"/>
  <c r="T123" i="14"/>
  <c r="AB123" i="14" s="1"/>
  <c r="T122" i="14"/>
  <c r="AB122" i="14" s="1"/>
  <c r="T121" i="14"/>
  <c r="AB121" i="14" s="1"/>
  <c r="AA78" i="8"/>
  <c r="AB78" i="8"/>
  <c r="AC78" i="8"/>
  <c r="AD78" i="8"/>
  <c r="AE78" i="8"/>
  <c r="AF78" i="8"/>
  <c r="AG78" i="8"/>
  <c r="AH78" i="8"/>
  <c r="AI78" i="8"/>
  <c r="Z78" i="8"/>
  <c r="T106" i="14"/>
  <c r="T157" i="14"/>
  <c r="T107" i="14"/>
  <c r="V98" i="11"/>
  <c r="W98" i="11"/>
  <c r="X98" i="11"/>
  <c r="Y98" i="11"/>
  <c r="Z98" i="11"/>
  <c r="U98" i="11"/>
  <c r="X97" i="11"/>
  <c r="T70" i="11"/>
  <c r="T71" i="11"/>
  <c r="T69" i="11"/>
  <c r="T67" i="11"/>
  <c r="T66" i="11"/>
  <c r="Y35" i="11"/>
  <c r="T92" i="11" s="1"/>
  <c r="V92" i="11" s="1"/>
  <c r="Y36" i="11"/>
  <c r="T93" i="11" s="1"/>
  <c r="V93" i="11" s="1"/>
  <c r="Y34" i="11"/>
  <c r="T91" i="11" s="1"/>
  <c r="V91" i="11" s="1"/>
  <c r="V26" i="11"/>
  <c r="T63" i="11" s="1"/>
  <c r="V27" i="11"/>
  <c r="T64" i="11" s="1"/>
  <c r="V25" i="11"/>
  <c r="T60" i="11" s="1"/>
  <c r="V60" i="11" s="1"/>
  <c r="Y60" i="11" s="1"/>
  <c r="Y7" i="11"/>
  <c r="T95" i="11" s="1"/>
  <c r="Y8" i="11"/>
  <c r="T96" i="11" s="1"/>
  <c r="U96" i="11" s="1"/>
  <c r="Y6" i="11"/>
  <c r="V9" i="11"/>
  <c r="V10" i="11"/>
  <c r="V8" i="11"/>
  <c r="T44" i="11"/>
  <c r="Y44" i="11" s="1"/>
  <c r="T79" i="11" s="1"/>
  <c r="T45" i="11"/>
  <c r="Y45" i="11" s="1"/>
  <c r="T80" i="11" s="1"/>
  <c r="T46" i="11"/>
  <c r="Y46" i="11" s="1"/>
  <c r="T81" i="11" s="1"/>
  <c r="T47" i="11"/>
  <c r="Y47" i="11" s="1"/>
  <c r="T82" i="11" s="1"/>
  <c r="T48" i="11"/>
  <c r="Y48" i="11" s="1"/>
  <c r="T83" i="11" s="1"/>
  <c r="T49" i="11"/>
  <c r="Y49" i="11" s="1"/>
  <c r="T84" i="11" s="1"/>
  <c r="X84" i="11" s="1"/>
  <c r="T50" i="11"/>
  <c r="Y50" i="11" s="1"/>
  <c r="T85" i="11" s="1"/>
  <c r="V85" i="11" s="1"/>
  <c r="T51" i="11"/>
  <c r="Y51" i="11" s="1"/>
  <c r="T86" i="11" s="1"/>
  <c r="U86" i="11" s="1"/>
  <c r="T52" i="11"/>
  <c r="Y52" i="11" s="1"/>
  <c r="T87" i="11" s="1"/>
  <c r="Y87" i="11" s="1"/>
  <c r="T43" i="11"/>
  <c r="Y43" i="11" s="1"/>
  <c r="T78" i="11" s="1"/>
  <c r="V78" i="11" s="1"/>
  <c r="AG78" i="12"/>
  <c r="AI76" i="12"/>
  <c r="AH76" i="12"/>
  <c r="AG76" i="12"/>
  <c r="AF76" i="12"/>
  <c r="AE76" i="12"/>
  <c r="AD76" i="12"/>
  <c r="AC76" i="12"/>
  <c r="AB76" i="12"/>
  <c r="AA76" i="12"/>
  <c r="Z76" i="12"/>
  <c r="AI75" i="12"/>
  <c r="AH75" i="12"/>
  <c r="AG75" i="12"/>
  <c r="AF75" i="12"/>
  <c r="AE75" i="12"/>
  <c r="AD75" i="12"/>
  <c r="AC75" i="12"/>
  <c r="AB75" i="12"/>
  <c r="AA75" i="12"/>
  <c r="Z75" i="12"/>
  <c r="AI74" i="12"/>
  <c r="AH74" i="12"/>
  <c r="AG74" i="12"/>
  <c r="AF74" i="12"/>
  <c r="AE74" i="12"/>
  <c r="AD74" i="12"/>
  <c r="AC74" i="12"/>
  <c r="AB74" i="12"/>
  <c r="AB77" i="12" s="1"/>
  <c r="AB78" i="12" s="1"/>
  <c r="AA74" i="12"/>
  <c r="Z74" i="12"/>
  <c r="AI73" i="12"/>
  <c r="AH73" i="12"/>
  <c r="AG73" i="12"/>
  <c r="AF73" i="12"/>
  <c r="AE73" i="12"/>
  <c r="AD73" i="12"/>
  <c r="AC73" i="12"/>
  <c r="AB73" i="12"/>
  <c r="AA73" i="12"/>
  <c r="Z73" i="12"/>
  <c r="Y61" i="12"/>
  <c r="Y60" i="12"/>
  <c r="Y59" i="12"/>
  <c r="Y58" i="12"/>
  <c r="AI44" i="12"/>
  <c r="AH44" i="12"/>
  <c r="AG44" i="12"/>
  <c r="AF44" i="12"/>
  <c r="AE44" i="12"/>
  <c r="AD44" i="12"/>
  <c r="AC44" i="12"/>
  <c r="AB44" i="12"/>
  <c r="AA44" i="12"/>
  <c r="Z44" i="12"/>
  <c r="AI43" i="12"/>
  <c r="AH43" i="12"/>
  <c r="AG43" i="12"/>
  <c r="AF43" i="12"/>
  <c r="AE43" i="12"/>
  <c r="AD43" i="12"/>
  <c r="AC43" i="12"/>
  <c r="AB43" i="12"/>
  <c r="AA43" i="12"/>
  <c r="Z43" i="12"/>
  <c r="AI42" i="12"/>
  <c r="AH42" i="12"/>
  <c r="AG42" i="12"/>
  <c r="AF42" i="12"/>
  <c r="AE42" i="12"/>
  <c r="AD42" i="12"/>
  <c r="AC42" i="12"/>
  <c r="AB42" i="12"/>
  <c r="AA42" i="12"/>
  <c r="Z42" i="12"/>
  <c r="AI41" i="12"/>
  <c r="AH41" i="12"/>
  <c r="AG41" i="12"/>
  <c r="AF41" i="12"/>
  <c r="AE41" i="12"/>
  <c r="AD41" i="12"/>
  <c r="AC41" i="12"/>
  <c r="AB41" i="12"/>
  <c r="AA41" i="12"/>
  <c r="Z41" i="12"/>
  <c r="AI40" i="12"/>
  <c r="AH40" i="12"/>
  <c r="AG40" i="12"/>
  <c r="AF40" i="12"/>
  <c r="AE40" i="12"/>
  <c r="AD40" i="12"/>
  <c r="AC40" i="12"/>
  <c r="AB40" i="12"/>
  <c r="AA40" i="12"/>
  <c r="Z40" i="12"/>
  <c r="AI39" i="12"/>
  <c r="AH39" i="12"/>
  <c r="AG39" i="12"/>
  <c r="AF39" i="12"/>
  <c r="AE39" i="12"/>
  <c r="AD39" i="12"/>
  <c r="AC39" i="12"/>
  <c r="AB39" i="12"/>
  <c r="AA39" i="12"/>
  <c r="Z39" i="12"/>
  <c r="AI38" i="12"/>
  <c r="AH38" i="12"/>
  <c r="AG38" i="12"/>
  <c r="AF38" i="12"/>
  <c r="AE38" i="12"/>
  <c r="AD38" i="12"/>
  <c r="AC38" i="12"/>
  <c r="AB38" i="12"/>
  <c r="AA38" i="12"/>
  <c r="Z38" i="12"/>
  <c r="AI37" i="12"/>
  <c r="AH37" i="12"/>
  <c r="AG37" i="12"/>
  <c r="AF37" i="12"/>
  <c r="AE37" i="12"/>
  <c r="AD37" i="12"/>
  <c r="AC37" i="12"/>
  <c r="AB37" i="12"/>
  <c r="AA37" i="12"/>
  <c r="Z37" i="12"/>
  <c r="AI36" i="12"/>
  <c r="AH36" i="12"/>
  <c r="AG36" i="12"/>
  <c r="AF36" i="12"/>
  <c r="AE36" i="12"/>
  <c r="AD36" i="12"/>
  <c r="AC36" i="12"/>
  <c r="AB36" i="12"/>
  <c r="AA36" i="12"/>
  <c r="Z36" i="12"/>
  <c r="AI35" i="12"/>
  <c r="AH35" i="12"/>
  <c r="AG35" i="12"/>
  <c r="AF35" i="12"/>
  <c r="AE35" i="12"/>
  <c r="AD35" i="12"/>
  <c r="AC35" i="12"/>
  <c r="AB35" i="12"/>
  <c r="AA35" i="12"/>
  <c r="Z35" i="12"/>
  <c r="AI34" i="12"/>
  <c r="AH34" i="12"/>
  <c r="AG34" i="12"/>
  <c r="AF34" i="12"/>
  <c r="AE34" i="12"/>
  <c r="AD34" i="12"/>
  <c r="AC34" i="12"/>
  <c r="AB34" i="12"/>
  <c r="AA34" i="12"/>
  <c r="Z34" i="12"/>
  <c r="AI33" i="12"/>
  <c r="AH33" i="12"/>
  <c r="AG33" i="12"/>
  <c r="AF33" i="12"/>
  <c r="AE33" i="12"/>
  <c r="AD33" i="12"/>
  <c r="AC33" i="12"/>
  <c r="AB33" i="12"/>
  <c r="AA33" i="12"/>
  <c r="Z3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AA96" i="8"/>
  <c r="AB96" i="8"/>
  <c r="AC96" i="8"/>
  <c r="AD96" i="8"/>
  <c r="AE96" i="8"/>
  <c r="AF96" i="8"/>
  <c r="AG96" i="8"/>
  <c r="AH96" i="8"/>
  <c r="AI96" i="8"/>
  <c r="Z96" i="8"/>
  <c r="AB73" i="8"/>
  <c r="AC73" i="8"/>
  <c r="AD73" i="8"/>
  <c r="AE73" i="8"/>
  <c r="AF73" i="8"/>
  <c r="AG73" i="8"/>
  <c r="AH73" i="8"/>
  <c r="AI73" i="8"/>
  <c r="AB74" i="8"/>
  <c r="AC74" i="8"/>
  <c r="AC77" i="8" s="1"/>
  <c r="AD74" i="8"/>
  <c r="AE74" i="8"/>
  <c r="AE77" i="8" s="1"/>
  <c r="AF74" i="8"/>
  <c r="AG74" i="8"/>
  <c r="AH74" i="8"/>
  <c r="AI74" i="8"/>
  <c r="AB75" i="8"/>
  <c r="AC75" i="8"/>
  <c r="AD75" i="8"/>
  <c r="AE75" i="8"/>
  <c r="AF75" i="8"/>
  <c r="AG75" i="8"/>
  <c r="AH75" i="8"/>
  <c r="AI75" i="8"/>
  <c r="AB76" i="8"/>
  <c r="AC76" i="8"/>
  <c r="AD76" i="8"/>
  <c r="AE76" i="8"/>
  <c r="AF76" i="8"/>
  <c r="AG76" i="8"/>
  <c r="AH76" i="8"/>
  <c r="AI76" i="8"/>
  <c r="AA73" i="8"/>
  <c r="AA74" i="8"/>
  <c r="AA75" i="8"/>
  <c r="AA76" i="8"/>
  <c r="Z74" i="8"/>
  <c r="Z75" i="8"/>
  <c r="Z76" i="8"/>
  <c r="Z73" i="8"/>
  <c r="Y61" i="8"/>
  <c r="Y60" i="8"/>
  <c r="Y59" i="8"/>
  <c r="Y58" i="8"/>
  <c r="AB33" i="8"/>
  <c r="AC33" i="8"/>
  <c r="AD33" i="8"/>
  <c r="AE33" i="8"/>
  <c r="AF33" i="8"/>
  <c r="AG33" i="8"/>
  <c r="AH33" i="8"/>
  <c r="AI33" i="8"/>
  <c r="AB34" i="8"/>
  <c r="AC34" i="8"/>
  <c r="AD34" i="8"/>
  <c r="AE34" i="8"/>
  <c r="AF34" i="8"/>
  <c r="AG34" i="8"/>
  <c r="AH34" i="8"/>
  <c r="AI34" i="8"/>
  <c r="AB35" i="8"/>
  <c r="AC35" i="8"/>
  <c r="AD35" i="8"/>
  <c r="AE35" i="8"/>
  <c r="AF35" i="8"/>
  <c r="AG35" i="8"/>
  <c r="AH35" i="8"/>
  <c r="AI35" i="8"/>
  <c r="AB36" i="8"/>
  <c r="AC36" i="8"/>
  <c r="AD36" i="8"/>
  <c r="AE36" i="8"/>
  <c r="AF36" i="8"/>
  <c r="AG36" i="8"/>
  <c r="AH36" i="8"/>
  <c r="AI36" i="8"/>
  <c r="AB37" i="8"/>
  <c r="AC37" i="8"/>
  <c r="AD37" i="8"/>
  <c r="AE37" i="8"/>
  <c r="AF37" i="8"/>
  <c r="AG37" i="8"/>
  <c r="AH37" i="8"/>
  <c r="AI37" i="8"/>
  <c r="AB38" i="8"/>
  <c r="AC38" i="8"/>
  <c r="AD38" i="8"/>
  <c r="AE38" i="8"/>
  <c r="AF38" i="8"/>
  <c r="AG38" i="8"/>
  <c r="AH38" i="8"/>
  <c r="AI38" i="8"/>
  <c r="AB39" i="8"/>
  <c r="AC39" i="8"/>
  <c r="AD39" i="8"/>
  <c r="AE39" i="8"/>
  <c r="AF39" i="8"/>
  <c r="AG39" i="8"/>
  <c r="AH39" i="8"/>
  <c r="AI39" i="8"/>
  <c r="AB40" i="8"/>
  <c r="AC40" i="8"/>
  <c r="AD40" i="8"/>
  <c r="AE40" i="8"/>
  <c r="AF40" i="8"/>
  <c r="AG40" i="8"/>
  <c r="AH40" i="8"/>
  <c r="AI40" i="8"/>
  <c r="AB41" i="8"/>
  <c r="AC41" i="8"/>
  <c r="AD41" i="8"/>
  <c r="AE41" i="8"/>
  <c r="AF41" i="8"/>
  <c r="AG41" i="8"/>
  <c r="AH41" i="8"/>
  <c r="AI41" i="8"/>
  <c r="AB42" i="8"/>
  <c r="AC42" i="8"/>
  <c r="AD42" i="8"/>
  <c r="AE42" i="8"/>
  <c r="AF42" i="8"/>
  <c r="AG42" i="8"/>
  <c r="AH42" i="8"/>
  <c r="AI42" i="8"/>
  <c r="AB43" i="8"/>
  <c r="AC43" i="8"/>
  <c r="AD43" i="8"/>
  <c r="AE43" i="8"/>
  <c r="AF43" i="8"/>
  <c r="AG43" i="8"/>
  <c r="AH43" i="8"/>
  <c r="AI43" i="8"/>
  <c r="AB44" i="8"/>
  <c r="AC44" i="8"/>
  <c r="AD44" i="8"/>
  <c r="AE44" i="8"/>
  <c r="AF44" i="8"/>
  <c r="AG44" i="8"/>
  <c r="AH44" i="8"/>
  <c r="AI44" i="8"/>
  <c r="Z33" i="8"/>
  <c r="Z34" i="8"/>
  <c r="Z35" i="8"/>
  <c r="Z36" i="8"/>
  <c r="Z37" i="8"/>
  <c r="Z38" i="8"/>
  <c r="Z39" i="8"/>
  <c r="Z40" i="8"/>
  <c r="Z41" i="8"/>
  <c r="Z4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Z43" i="8"/>
  <c r="Z44" i="8"/>
  <c r="Y12" i="8"/>
  <c r="Y13" i="8"/>
  <c r="Y14" i="8"/>
  <c r="Y15" i="8"/>
  <c r="Y16" i="8"/>
  <c r="Y17" i="8"/>
  <c r="Y18" i="8"/>
  <c r="Y19" i="8"/>
  <c r="Y20" i="8"/>
  <c r="Y21" i="8"/>
  <c r="Y22" i="8"/>
  <c r="Y11" i="8"/>
  <c r="A26" i="1"/>
  <c r="G3" i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H2" i="1"/>
  <c r="I2" i="1"/>
  <c r="J2" i="1"/>
  <c r="G2" i="1"/>
  <c r="S77" i="14"/>
  <c r="S155" i="14"/>
  <c r="S73" i="14"/>
  <c r="AA98" i="14"/>
  <c r="S129" i="14"/>
  <c r="S154" i="14"/>
  <c r="S122" i="14"/>
  <c r="S128" i="14"/>
  <c r="S152" i="14"/>
  <c r="S148" i="14"/>
  <c r="S149" i="14"/>
  <c r="S150" i="14"/>
  <c r="S153" i="14"/>
  <c r="S123" i="14"/>
  <c r="AA112" i="14"/>
  <c r="AA161" i="14"/>
  <c r="S69" i="14"/>
  <c r="S127" i="14"/>
  <c r="AA113" i="14"/>
  <c r="S75" i="14"/>
  <c r="S130" i="14"/>
  <c r="S125" i="14"/>
  <c r="S145" i="14"/>
  <c r="S71" i="14"/>
  <c r="S126" i="14"/>
  <c r="S156" i="14"/>
  <c r="S147" i="14"/>
  <c r="S131" i="14"/>
  <c r="AA162" i="14"/>
  <c r="S72" i="14"/>
  <c r="S157" i="14"/>
  <c r="S121" i="14"/>
  <c r="S146" i="14"/>
  <c r="S151" i="14"/>
  <c r="S124" i="14"/>
  <c r="AA160" i="14"/>
  <c r="S132" i="14"/>
  <c r="Z157" i="14" l="1"/>
  <c r="T99" i="14"/>
  <c r="T150" i="14"/>
  <c r="T98" i="14"/>
  <c r="T149" i="14"/>
  <c r="T100" i="14"/>
  <c r="T151" i="14"/>
  <c r="T101" i="14"/>
  <c r="T152" i="14"/>
  <c r="T105" i="14"/>
  <c r="T156" i="14"/>
  <c r="T104" i="14"/>
  <c r="T155" i="14"/>
  <c r="T103" i="14"/>
  <c r="T154" i="14"/>
  <c r="T102" i="14"/>
  <c r="T153" i="14"/>
  <c r="V175" i="14"/>
  <c r="W175" i="14"/>
  <c r="Y175" i="14"/>
  <c r="AC175" i="14"/>
  <c r="Z175" i="14"/>
  <c r="U175" i="14"/>
  <c r="AA175" i="14"/>
  <c r="AD175" i="14"/>
  <c r="AB175" i="14"/>
  <c r="X175" i="14"/>
  <c r="AC176" i="14"/>
  <c r="AD176" i="14"/>
  <c r="X176" i="14"/>
  <c r="Z176" i="14"/>
  <c r="U176" i="14"/>
  <c r="V176" i="14"/>
  <c r="Y176" i="14"/>
  <c r="AA176" i="14"/>
  <c r="AB176" i="14"/>
  <c r="W176" i="14"/>
  <c r="AA178" i="14"/>
  <c r="AB178" i="14"/>
  <c r="AC178" i="14"/>
  <c r="AD178" i="14"/>
  <c r="U178" i="14"/>
  <c r="Z178" i="14"/>
  <c r="V178" i="14"/>
  <c r="W178" i="14"/>
  <c r="X178" i="14"/>
  <c r="Y178" i="14"/>
  <c r="W177" i="14"/>
  <c r="Y177" i="14"/>
  <c r="AA177" i="14"/>
  <c r="AB177" i="14"/>
  <c r="AC177" i="14"/>
  <c r="X177" i="14"/>
  <c r="U177" i="14"/>
  <c r="Z177" i="14"/>
  <c r="AD177" i="14"/>
  <c r="V177" i="14"/>
  <c r="Z149" i="14"/>
  <c r="AB127" i="14"/>
  <c r="AB128" i="14"/>
  <c r="AB131" i="14"/>
  <c r="AB132" i="14"/>
  <c r="AB129" i="14"/>
  <c r="AB126" i="14"/>
  <c r="AB130" i="14"/>
  <c r="T110" i="14"/>
  <c r="Z147" i="14" s="1"/>
  <c r="X131" i="14"/>
  <c r="AD124" i="14"/>
  <c r="AC124" i="14"/>
  <c r="U124" i="14"/>
  <c r="Z128" i="14"/>
  <c r="Y128" i="14"/>
  <c r="AC125" i="14"/>
  <c r="AA125" i="14"/>
  <c r="Y125" i="14"/>
  <c r="AC132" i="14"/>
  <c r="AD131" i="14"/>
  <c r="AC131" i="14"/>
  <c r="AA132" i="14"/>
  <c r="W131" i="14"/>
  <c r="Z132" i="14"/>
  <c r="X132" i="14"/>
  <c r="W132" i="14"/>
  <c r="Y132" i="14"/>
  <c r="AA131" i="14"/>
  <c r="Z131" i="14"/>
  <c r="X121" i="14"/>
  <c r="Y121" i="14"/>
  <c r="Z121" i="14"/>
  <c r="AA121" i="14"/>
  <c r="AC121" i="14"/>
  <c r="AD121" i="14"/>
  <c r="U121" i="14"/>
  <c r="V121" i="14"/>
  <c r="W121" i="14"/>
  <c r="W122" i="14"/>
  <c r="U122" i="14"/>
  <c r="V122" i="14"/>
  <c r="X122" i="14"/>
  <c r="Y122" i="14"/>
  <c r="Z122" i="14"/>
  <c r="AA122" i="14"/>
  <c r="AD122" i="14"/>
  <c r="AC122" i="14"/>
  <c r="V130" i="14"/>
  <c r="X130" i="14"/>
  <c r="U130" i="14"/>
  <c r="AD130" i="14"/>
  <c r="AC130" i="14"/>
  <c r="W130" i="14"/>
  <c r="Y130" i="14"/>
  <c r="Z130" i="14"/>
  <c r="AA130" i="14"/>
  <c r="Y123" i="14"/>
  <c r="U123" i="14"/>
  <c r="W123" i="14"/>
  <c r="V123" i="14"/>
  <c r="X123" i="14"/>
  <c r="AC123" i="14"/>
  <c r="Z123" i="14"/>
  <c r="AD123" i="14"/>
  <c r="AA123" i="14"/>
  <c r="W126" i="14"/>
  <c r="X128" i="14"/>
  <c r="V126" i="14"/>
  <c r="W128" i="14"/>
  <c r="U126" i="14"/>
  <c r="U128" i="14"/>
  <c r="Z125" i="14"/>
  <c r="AD129" i="14"/>
  <c r="AC129" i="14"/>
  <c r="V132" i="14"/>
  <c r="AA129" i="14"/>
  <c r="Y127" i="14"/>
  <c r="W125" i="14"/>
  <c r="AD128" i="14"/>
  <c r="X125" i="14"/>
  <c r="U132" i="14"/>
  <c r="Z129" i="14"/>
  <c r="X127" i="14"/>
  <c r="V125" i="14"/>
  <c r="AC128" i="14"/>
  <c r="AA127" i="14"/>
  <c r="Z127" i="14"/>
  <c r="Y129" i="14"/>
  <c r="W127" i="14"/>
  <c r="U125" i="14"/>
  <c r="AD127" i="14"/>
  <c r="V128" i="14"/>
  <c r="X129" i="14"/>
  <c r="V127" i="14"/>
  <c r="AA124" i="14"/>
  <c r="AC127" i="14"/>
  <c r="Y131" i="14"/>
  <c r="W129" i="14"/>
  <c r="Z124" i="14"/>
  <c r="AD126" i="14"/>
  <c r="U129" i="14"/>
  <c r="Z126" i="14"/>
  <c r="X124" i="14"/>
  <c r="AD125" i="14"/>
  <c r="V131" i="14"/>
  <c r="AA128" i="14"/>
  <c r="Y126" i="14"/>
  <c r="W124" i="14"/>
  <c r="AA126" i="14"/>
  <c r="Y124" i="14"/>
  <c r="AC126" i="14"/>
  <c r="V124" i="14"/>
  <c r="V98" i="14"/>
  <c r="X106" i="14"/>
  <c r="Z106" i="14"/>
  <c r="Y106" i="14"/>
  <c r="U106" i="14"/>
  <c r="W106" i="14"/>
  <c r="V106" i="14"/>
  <c r="U107" i="14"/>
  <c r="V107" i="14"/>
  <c r="W107" i="14"/>
  <c r="X107" i="14"/>
  <c r="Y107" i="14"/>
  <c r="Z107" i="14"/>
  <c r="Z98" i="14"/>
  <c r="U98" i="14"/>
  <c r="Y98" i="14"/>
  <c r="X98" i="14"/>
  <c r="W98" i="14"/>
  <c r="T109" i="14"/>
  <c r="T111" i="14"/>
  <c r="V69" i="11"/>
  <c r="Y69" i="11" s="1"/>
  <c r="U78" i="11"/>
  <c r="U93" i="11"/>
  <c r="X93" i="11"/>
  <c r="U91" i="11"/>
  <c r="Z93" i="11"/>
  <c r="Y93" i="11"/>
  <c r="W93" i="11"/>
  <c r="X87" i="11"/>
  <c r="Z86" i="11"/>
  <c r="Z85" i="11"/>
  <c r="Z84" i="11"/>
  <c r="W84" i="11"/>
  <c r="V84" i="11"/>
  <c r="X78" i="11"/>
  <c r="W91" i="11"/>
  <c r="U95" i="11"/>
  <c r="X95" i="11"/>
  <c r="Y96" i="11"/>
  <c r="W96" i="11"/>
  <c r="X96" i="11"/>
  <c r="Z96" i="11"/>
  <c r="U82" i="11"/>
  <c r="V82" i="11"/>
  <c r="W82" i="11"/>
  <c r="X82" i="11"/>
  <c r="Y82" i="11"/>
  <c r="Z82" i="11"/>
  <c r="U83" i="11"/>
  <c r="V83" i="11"/>
  <c r="W83" i="11"/>
  <c r="X83" i="11"/>
  <c r="Y83" i="11"/>
  <c r="Z83" i="11"/>
  <c r="W81" i="11"/>
  <c r="X81" i="11"/>
  <c r="Y81" i="11"/>
  <c r="U81" i="11"/>
  <c r="Z81" i="11"/>
  <c r="V81" i="11"/>
  <c r="U80" i="11"/>
  <c r="W80" i="11"/>
  <c r="X80" i="11"/>
  <c r="V80" i="11"/>
  <c r="Y80" i="11"/>
  <c r="Z80" i="11"/>
  <c r="U79" i="11"/>
  <c r="X79" i="11"/>
  <c r="V79" i="11"/>
  <c r="W79" i="11"/>
  <c r="Y79" i="11"/>
  <c r="Z79" i="11"/>
  <c r="V66" i="11"/>
  <c r="Y66" i="11" s="1"/>
  <c r="W87" i="11"/>
  <c r="U92" i="11"/>
  <c r="V87" i="11"/>
  <c r="V96" i="11"/>
  <c r="Z92" i="11"/>
  <c r="X86" i="11"/>
  <c r="Y86" i="11"/>
  <c r="Z95" i="11"/>
  <c r="Y92" i="11"/>
  <c r="W86" i="11"/>
  <c r="U87" i="11"/>
  <c r="Y95" i="11"/>
  <c r="X92" i="11"/>
  <c r="V86" i="11"/>
  <c r="W92" i="11"/>
  <c r="U85" i="11"/>
  <c r="W95" i="11"/>
  <c r="Y85" i="11"/>
  <c r="U84" i="11"/>
  <c r="V95" i="11"/>
  <c r="Z91" i="11"/>
  <c r="X85" i="11"/>
  <c r="Y91" i="11"/>
  <c r="W85" i="11"/>
  <c r="Z78" i="11"/>
  <c r="X91" i="11"/>
  <c r="Y78" i="11"/>
  <c r="Z87" i="11"/>
  <c r="Y84" i="11"/>
  <c r="W78" i="11"/>
  <c r="Y26" i="11"/>
  <c r="T89" i="11" s="1"/>
  <c r="Y25" i="11"/>
  <c r="T62" i="11"/>
  <c r="V62" i="11" s="1"/>
  <c r="Y62" i="11" s="1"/>
  <c r="Y27" i="11"/>
  <c r="T90" i="11" s="1"/>
  <c r="AH77" i="12"/>
  <c r="AH78" i="12" s="1"/>
  <c r="AI77" i="12"/>
  <c r="AI78" i="12" s="1"/>
  <c r="AC77" i="12"/>
  <c r="AC78" i="12" s="1"/>
  <c r="AD77" i="12"/>
  <c r="AD78" i="12" s="1"/>
  <c r="AE77" i="12"/>
  <c r="AE78" i="12" s="1"/>
  <c r="Z77" i="12"/>
  <c r="Z78" i="12" s="1"/>
  <c r="AA77" i="12"/>
  <c r="AA78" i="12" s="1"/>
  <c r="AH45" i="12"/>
  <c r="Z45" i="12"/>
  <c r="Z48" i="12" s="1" a="1"/>
  <c r="Z48" i="12" s="1"/>
  <c r="AA45" i="12"/>
  <c r="AA96" i="12" s="1"/>
  <c r="AI45" i="12"/>
  <c r="AB45" i="12"/>
  <c r="Z96" i="12" s="1"/>
  <c r="AC45" i="12"/>
  <c r="AC96" i="12" s="1"/>
  <c r="AE45" i="12"/>
  <c r="AE96" i="12" s="1"/>
  <c r="AF45" i="12"/>
  <c r="AF46" i="12" s="1"/>
  <c r="AF77" i="12"/>
  <c r="AF78" i="12" s="1"/>
  <c r="AJ78" i="12" s="1"/>
  <c r="AG79" i="12" s="1"/>
  <c r="AD45" i="12"/>
  <c r="AG45" i="12"/>
  <c r="AH46" i="12"/>
  <c r="AI77" i="8"/>
  <c r="AD77" i="8"/>
  <c r="AA77" i="8"/>
  <c r="AF77" i="8"/>
  <c r="Z77" i="8"/>
  <c r="AB77" i="8"/>
  <c r="AH77" i="8"/>
  <c r="AA45" i="8"/>
  <c r="Z45" i="8"/>
  <c r="AH45" i="8"/>
  <c r="AI45" i="8"/>
  <c r="AG45" i="8"/>
  <c r="AB45" i="8"/>
  <c r="AD45" i="8"/>
  <c r="AC45" i="8"/>
  <c r="AF45" i="8"/>
  <c r="AE45" i="8"/>
  <c r="S107" i="14"/>
  <c r="S103" i="14"/>
  <c r="S98" i="14"/>
  <c r="S110" i="14"/>
  <c r="S106" i="14"/>
  <c r="S109" i="14"/>
  <c r="S108" i="14"/>
  <c r="S99" i="14"/>
  <c r="S105" i="14"/>
  <c r="S111" i="14"/>
  <c r="S104" i="14"/>
  <c r="S102" i="14"/>
  <c r="S100" i="14"/>
  <c r="S101" i="14"/>
  <c r="Z156" i="14" l="1"/>
  <c r="U181" i="14"/>
  <c r="Z154" i="14"/>
  <c r="V181" i="14"/>
  <c r="V182" i="14" s="1"/>
  <c r="Z155" i="14"/>
  <c r="Z153" i="14"/>
  <c r="Z152" i="14"/>
  <c r="V105" i="14"/>
  <c r="AB181" i="14"/>
  <c r="AB182" i="14" s="1"/>
  <c r="W181" i="14"/>
  <c r="W182" i="14" s="1"/>
  <c r="Z105" i="14"/>
  <c r="AA181" i="14"/>
  <c r="AA182" i="14" s="1"/>
  <c r="Z151" i="14"/>
  <c r="Y105" i="14"/>
  <c r="AC181" i="14"/>
  <c r="AC182" i="14" s="1"/>
  <c r="W105" i="14"/>
  <c r="X105" i="14"/>
  <c r="X181" i="14"/>
  <c r="X182" i="14" s="1"/>
  <c r="U105" i="14"/>
  <c r="Y181" i="14"/>
  <c r="Y182" i="14" s="1"/>
  <c r="Z150" i="14"/>
  <c r="AD181" i="14"/>
  <c r="AD182" i="14" s="1"/>
  <c r="Z181" i="14"/>
  <c r="Z182" i="14" s="1"/>
  <c r="AB133" i="14"/>
  <c r="AC133" i="14"/>
  <c r="V110" i="14"/>
  <c r="Z133" i="14"/>
  <c r="AD133" i="14"/>
  <c r="X133" i="14"/>
  <c r="Y133" i="14"/>
  <c r="AA133" i="14"/>
  <c r="W133" i="14"/>
  <c r="V133" i="14"/>
  <c r="U110" i="14"/>
  <c r="Z110" i="14"/>
  <c r="X110" i="14"/>
  <c r="W110" i="14"/>
  <c r="Y110" i="14"/>
  <c r="U111" i="14"/>
  <c r="V109" i="14"/>
  <c r="Y99" i="14"/>
  <c r="W99" i="14"/>
  <c r="U99" i="14"/>
  <c r="V99" i="14"/>
  <c r="X99" i="14"/>
  <c r="Z99" i="14"/>
  <c r="V100" i="14"/>
  <c r="W100" i="14"/>
  <c r="X100" i="14"/>
  <c r="Y100" i="14"/>
  <c r="Z100" i="14"/>
  <c r="U100" i="14"/>
  <c r="V101" i="14"/>
  <c r="W101" i="14"/>
  <c r="U101" i="14"/>
  <c r="X101" i="14"/>
  <c r="Y101" i="14"/>
  <c r="Z101" i="14"/>
  <c r="V102" i="14"/>
  <c r="W102" i="14"/>
  <c r="U102" i="14"/>
  <c r="Z102" i="14"/>
  <c r="Y102" i="14"/>
  <c r="X102" i="14"/>
  <c r="W103" i="14"/>
  <c r="Y103" i="14"/>
  <c r="X103" i="14"/>
  <c r="Z103" i="14"/>
  <c r="U103" i="14"/>
  <c r="V103" i="14"/>
  <c r="U104" i="14"/>
  <c r="V104" i="14"/>
  <c r="W104" i="14"/>
  <c r="X104" i="14"/>
  <c r="Y104" i="14"/>
  <c r="Z104" i="14"/>
  <c r="T108" i="14"/>
  <c r="V89" i="11"/>
  <c r="W89" i="11"/>
  <c r="X89" i="11"/>
  <c r="Z89" i="11"/>
  <c r="Y89" i="11"/>
  <c r="U89" i="11"/>
  <c r="Z90" i="11"/>
  <c r="Y90" i="11"/>
  <c r="V90" i="11"/>
  <c r="U90" i="11"/>
  <c r="W90" i="11"/>
  <c r="X90" i="11"/>
  <c r="T94" i="11"/>
  <c r="T88" i="11"/>
  <c r="AA46" i="12"/>
  <c r="AI46" i="12"/>
  <c r="Z47" i="12"/>
  <c r="AF96" i="12"/>
  <c r="AB96" i="12"/>
  <c r="AC46" i="12"/>
  <c r="Z46" i="12"/>
  <c r="AA48" i="12"/>
  <c r="AA49" i="12" s="1"/>
  <c r="AE46" i="12"/>
  <c r="AA47" i="12"/>
  <c r="AG96" i="12"/>
  <c r="AD46" i="12"/>
  <c r="AI96" i="12"/>
  <c r="AH96" i="12"/>
  <c r="AD96" i="12"/>
  <c r="AB46" i="12"/>
  <c r="AG46" i="12"/>
  <c r="Z79" i="12"/>
  <c r="AB79" i="12"/>
  <c r="AE79" i="12"/>
  <c r="AF79" i="12"/>
  <c r="AC79" i="12"/>
  <c r="AA79" i="12"/>
  <c r="AH79" i="12"/>
  <c r="AI79" i="12"/>
  <c r="AD79" i="12"/>
  <c r="AJ78" i="8"/>
  <c r="AH79" i="8" s="1"/>
  <c r="AI79" i="8"/>
  <c r="AF79" i="8"/>
  <c r="AC79" i="8"/>
  <c r="Z79" i="8"/>
  <c r="AD79" i="8"/>
  <c r="AE79" i="8"/>
  <c r="AG79" i="8"/>
  <c r="AA46" i="8"/>
  <c r="AB46" i="8"/>
  <c r="AC46" i="8"/>
  <c r="AA47" i="8"/>
  <c r="AD46" i="8"/>
  <c r="Z48" i="8" a="1"/>
  <c r="Z48" i="8" s="1"/>
  <c r="AE46" i="8"/>
  <c r="AF46" i="8"/>
  <c r="AG46" i="8"/>
  <c r="AH46" i="8"/>
  <c r="AI46" i="8"/>
  <c r="Z46" i="8"/>
  <c r="AA48" i="8"/>
  <c r="Z47" i="8"/>
  <c r="U159" i="14" l="1"/>
  <c r="U160" i="14" s="1"/>
  <c r="Y159" i="14"/>
  <c r="Y160" i="14" s="1"/>
  <c r="V159" i="14"/>
  <c r="V160" i="14" s="1"/>
  <c r="W159" i="14"/>
  <c r="W160" i="14" s="1"/>
  <c r="X159" i="14"/>
  <c r="X160" i="14" s="1"/>
  <c r="U182" i="14"/>
  <c r="U183" i="14" s="1"/>
  <c r="AA79" i="8"/>
  <c r="AB79" i="8"/>
  <c r="AB97" i="8" s="1"/>
  <c r="AB98" i="8" s="1"/>
  <c r="Z109" i="14"/>
  <c r="Y109" i="14"/>
  <c r="U109" i="14"/>
  <c r="X111" i="14"/>
  <c r="Z111" i="14"/>
  <c r="W111" i="14"/>
  <c r="W109" i="14"/>
  <c r="Y111" i="14"/>
  <c r="V111" i="14"/>
  <c r="X109" i="14"/>
  <c r="V108" i="14"/>
  <c r="Z146" i="14"/>
  <c r="Z148" i="14"/>
  <c r="V88" i="11"/>
  <c r="W88" i="11"/>
  <c r="X88" i="11"/>
  <c r="Y88" i="11"/>
  <c r="Z88" i="11"/>
  <c r="U88" i="11"/>
  <c r="V94" i="11"/>
  <c r="W94" i="11"/>
  <c r="X94" i="11"/>
  <c r="Y94" i="11"/>
  <c r="Z94" i="11"/>
  <c r="U94" i="11"/>
  <c r="AH97" i="12"/>
  <c r="AH98" i="12" s="1"/>
  <c r="AI97" i="12"/>
  <c r="AI98" i="12" s="1"/>
  <c r="AA97" i="12"/>
  <c r="AA98" i="12" s="1"/>
  <c r="AC97" i="12"/>
  <c r="AC98" i="12" s="1"/>
  <c r="AB97" i="12"/>
  <c r="AB98" i="12" s="1"/>
  <c r="AG97" i="12"/>
  <c r="AG98" i="12" s="1"/>
  <c r="AF97" i="12"/>
  <c r="AF98" i="12" s="1"/>
  <c r="AE97" i="12"/>
  <c r="AE98" i="12" s="1"/>
  <c r="AD97" i="12"/>
  <c r="AD98" i="12" s="1"/>
  <c r="Z97" i="12"/>
  <c r="Z98" i="12" s="1"/>
  <c r="AA49" i="8"/>
  <c r="AD183" i="14" l="1"/>
  <c r="Y183" i="14"/>
  <c r="AB183" i="14"/>
  <c r="AA183" i="14"/>
  <c r="X183" i="14"/>
  <c r="Z183" i="14"/>
  <c r="V183" i="14"/>
  <c r="W183" i="14"/>
  <c r="AC183" i="14"/>
  <c r="V112" i="14"/>
  <c r="AD97" i="8"/>
  <c r="AD98" i="8" s="1"/>
  <c r="AC97" i="8"/>
  <c r="AC98" i="8" s="1"/>
  <c r="AE97" i="8"/>
  <c r="AE98" i="8" s="1"/>
  <c r="AF97" i="8"/>
  <c r="AF98" i="8" s="1"/>
  <c r="AA97" i="8"/>
  <c r="AA98" i="8" s="1"/>
  <c r="AG97" i="8"/>
  <c r="AG98" i="8" s="1"/>
  <c r="AI97" i="8"/>
  <c r="AI98" i="8" s="1"/>
  <c r="Z97" i="8"/>
  <c r="Z98" i="8" s="1"/>
  <c r="AH97" i="8"/>
  <c r="AH98" i="8" s="1"/>
  <c r="U108" i="14"/>
  <c r="U112" i="14" s="1"/>
  <c r="Z108" i="14"/>
  <c r="Z112" i="14" s="1"/>
  <c r="W108" i="14"/>
  <c r="W112" i="14" s="1"/>
  <c r="X108" i="14"/>
  <c r="X112" i="14" s="1"/>
  <c r="Z145" i="14"/>
  <c r="Y108" i="14"/>
  <c r="U97" i="11"/>
  <c r="Y97" i="11"/>
  <c r="W97" i="11"/>
  <c r="Z97" i="11"/>
  <c r="V97" i="11"/>
  <c r="U186" i="14" l="1"/>
  <c r="U185" i="14"/>
  <c r="Y112" i="14"/>
  <c r="Z159" i="14"/>
  <c r="Z160" i="14" s="1"/>
  <c r="Z161" i="14" l="1"/>
  <c r="X161" i="14"/>
  <c r="W161" i="14"/>
  <c r="V161" i="14"/>
  <c r="Y161" i="14"/>
  <c r="U117" i="14"/>
  <c r="T117" i="14"/>
  <c r="T116" i="14"/>
  <c r="W113" i="14" s="1"/>
  <c r="W114" i="14" s="1"/>
  <c r="U116" i="14"/>
  <c r="U163" i="14"/>
  <c r="U133" i="14"/>
  <c r="V113" i="14"/>
  <c r="V114" i="14" s="1"/>
  <c r="X113" i="14"/>
  <c r="X114" i="14" s="1"/>
  <c r="Y113" i="14"/>
  <c r="Y114" i="14" s="1"/>
  <c r="Z113" i="14"/>
  <c r="Z114" i="14" s="1"/>
  <c r="U161" i="14"/>
  <c r="U113" i="14" l="1"/>
  <c r="U114" i="14" s="1"/>
  <c r="U138" i="14"/>
  <c r="T138" i="14"/>
  <c r="T137" i="14"/>
  <c r="U137" i="14"/>
  <c r="U164" i="14"/>
  <c r="T164" i="14"/>
  <c r="T163" i="14"/>
  <c r="V134" i="14" l="1"/>
  <c r="V135" i="14" s="1"/>
  <c r="W134" i="14"/>
  <c r="W135" i="14" s="1"/>
  <c r="X134" i="14"/>
  <c r="X135" i="14" s="1"/>
  <c r="Y134" i="14"/>
  <c r="Y135" i="14" s="1"/>
  <c r="Z134" i="14"/>
  <c r="Z135" i="14" s="1"/>
  <c r="AA134" i="14"/>
  <c r="AA135" i="14" s="1"/>
  <c r="AB134" i="14"/>
  <c r="AB135" i="14" s="1"/>
  <c r="AC134" i="14"/>
  <c r="AC135" i="14" s="1"/>
  <c r="AD134" i="14"/>
  <c r="AD135" i="14" s="1"/>
  <c r="U134" i="14"/>
  <c r="U135" i="14" s="1"/>
  <c r="T186" i="14"/>
  <c r="T185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<sst xmlns="http://schemas.openxmlformats.org/spreadsheetml/2006/main" count="1575" uniqueCount="437">
  <si>
    <t xml:space="preserve">QUESTIONS </t>
  </si>
  <si>
    <t>(note- Republican and Democrats receive different questions (red=Republican; blue=Democrat) because there are completely separate segmentation models; Assume a screener to branch these two audiences)</t>
  </si>
  <si>
    <t>PUNCH</t>
  </si>
  <si>
    <t>FORMULA</t>
  </si>
  <si>
    <t>STANDARDIZE (Z-SCORE)</t>
  </si>
  <si>
    <t>FINAL VARIABLE</t>
  </si>
  <si>
    <t>Strongly</t>
  </si>
  <si>
    <t>Oppose</t>
  </si>
  <si>
    <t>Somewhat Oppose</t>
  </si>
  <si>
    <t>Neither</t>
  </si>
  <si>
    <t>Somewhat Support</t>
  </si>
  <si>
    <t>Support</t>
  </si>
  <si>
    <t>Strongly Support</t>
  </si>
  <si>
    <t>POLICY Below are policy changes some have proposed.  For each, please indicate how much you support or oppose the idea</t>
  </si>
  <si>
    <t>μ</t>
  </si>
  <si>
    <t>σ</t>
  </si>
  <si>
    <t>centroid + vector</t>
  </si>
  <si>
    <t>POLICY_PUBLIC_OPTION (ZPOLICY_10A)</t>
  </si>
  <si>
    <t>The government should create a public insurance option to compete with private plans</t>
  </si>
  <si>
    <t>vector</t>
  </si>
  <si>
    <t>POLICY_MF4A</t>
  </si>
  <si>
    <t>Health insurance should be provided through a single national health insurance system run by the government.</t>
  </si>
  <si>
    <t>POLICY_ESI_REQD</t>
  </si>
  <si>
    <t xml:space="preserve"> Large employers should be required to provide health insurance to their workers.</t>
  </si>
  <si>
    <t>Disagree</t>
  </si>
  <si>
    <t>Somewhat Disagree</t>
  </si>
  <si>
    <t>Somewhat Agree</t>
  </si>
  <si>
    <t>Agree</t>
  </si>
  <si>
    <t>Strongly Agree</t>
  </si>
  <si>
    <t>ATTITUDE For each of the following statements, indicate the extent to which you agree or disagree… </t>
  </si>
  <si>
    <t>ATTITUDE_EQUITY_FUNDING (ATTITUDE_29)</t>
  </si>
  <si>
    <t>The federal government should invest extra funds in communities of color that have suffered historic health injustices, even if it means higher taxes</t>
  </si>
  <si>
    <t>ATTITUDE_INFLUENCE</t>
  </si>
  <si>
    <t>Big corporations have too much influence over public health policies'</t>
  </si>
  <si>
    <t>ATTITUDE_MED_LIBERTY</t>
  </si>
  <si>
    <t>Mandating any medical treatment violates personal liberty</t>
  </si>
  <si>
    <t>IDEOLOGY:  Indicate which statement comes closest to your own view:</t>
  </si>
  <si>
    <t>⃝</t>
  </si>
  <si>
    <t>IDEOLOGY_GLOBALISM (ZGLOBALISM_R)</t>
  </si>
  <si>
    <t>America is better off as a leader in the global economy</t>
  </si>
  <si>
    <t>We need to focus on America first</t>
  </si>
  <si>
    <t>flip scale</t>
  </si>
  <si>
    <t>IDEOLOGY_MFA</t>
  </si>
  <si>
    <t>Healthcare is a basic right and government should be responsible for providing healthcare to all Americans</t>
  </si>
  <si>
    <t>The private, free market healthcare system is better because it protects patient choice and access to higher quality care</t>
  </si>
  <si>
    <t>DO NOT TRUST AT ALL</t>
  </si>
  <si>
    <t>TRUST A GREAT DEAL</t>
  </si>
  <si>
    <t xml:space="preserve">TRUST Rate how much you trust each of the following… </t>
  </si>
  <si>
    <t>ZTRUST_PHARMA</t>
  </si>
  <si>
    <t>Pharmaceutical companies</t>
  </si>
  <si>
    <t>TRUST_HOSPITALS</t>
  </si>
  <si>
    <t>Hospitals</t>
  </si>
  <si>
    <t>TRUST_PROVIDERS</t>
  </si>
  <si>
    <t>Health care providers</t>
  </si>
  <si>
    <t>TRUST_NIH</t>
  </si>
  <si>
    <t>National Institutes of Health (“NIH”)</t>
  </si>
  <si>
    <t>TRUST_ACADEMIA</t>
  </si>
  <si>
    <t>Academic and university research institutes</t>
  </si>
  <si>
    <t>TASK/VERSION (hypothetical design)</t>
  </si>
  <si>
    <t>DEMOCRAT MAXDIFF (10 tasks X 4 items; 10 items)</t>
  </si>
  <si>
    <t>r1</t>
  </si>
  <si>
    <t>Tech and data can improve care, but only if we stop bias, protect privacy, and provide benefits fairly.</t>
  </si>
  <si>
    <t>MD#_A#</t>
  </si>
  <si>
    <t>sum r1 (c1 and c2)</t>
  </si>
  <si>
    <t>r2</t>
  </si>
  <si>
    <t>I trust mainstream experts and prefer step-by-step fixes—strengthening the ACA, not ripping it up.</t>
  </si>
  <si>
    <t>sum r2 (c1 and c2)</t>
  </si>
  <si>
    <t>r3</t>
  </si>
  <si>
    <t>Digital tools, AI, and start-ups can universalize care faster than big bureaucracies—let’s remove red tape.</t>
  </si>
  <si>
    <t>sum r3 (c1 and c2)</t>
  </si>
  <si>
    <t>r4</t>
  </si>
  <si>
    <t>Corporate greed hurts ordinary people. Government must crack down on prices, ads, and junk food.</t>
  </si>
  <si>
    <t>sum r4 (c1 and c2)</t>
  </si>
  <si>
    <t>r5</t>
  </si>
  <si>
    <t>Healthcare is a human right. We need Medicare-for-All or something very close to it.</t>
  </si>
  <si>
    <t>sum r5 (c1 and c2)</t>
  </si>
  <si>
    <t>r6</t>
  </si>
  <si>
    <t>Unions fought for good coverage. Policy should protect employer benefits and bargaining power.</t>
  </si>
  <si>
    <t>sum r6 (c1 and c2)</t>
  </si>
  <si>
    <t>r7</t>
  </si>
  <si>
    <t>Racism and inequality drive poor health. Equity must be built into every health decision and budget.</t>
  </si>
  <si>
    <t>sum r7 (c1 and c2)</t>
  </si>
  <si>
    <t>r8</t>
  </si>
  <si>
    <t>Reproductive freedom—including abortion access—is non-negotiable and central to health policy.</t>
  </si>
  <si>
    <t>sum r8 (c1 and c2)</t>
  </si>
  <si>
    <t>r9</t>
  </si>
  <si>
    <t>My faith calls me to fight for the poor and for broader access—especially in under-served communities.</t>
  </si>
  <si>
    <t>sum r9 (c1 and c2)</t>
  </si>
  <si>
    <t>r10</t>
  </si>
  <si>
    <t>Climate change is a public-health emergency. Clean energy and environmental justice are health policy.</t>
  </si>
  <si>
    <t>sum r10 (c1 and c2)</t>
  </si>
  <si>
    <t>GOP MAXDIFF (12 tasks X 4 items; 12 items)</t>
  </si>
  <si>
    <t>Government should stay small but defend marriage, family life, and personal responsibility.</t>
  </si>
  <si>
    <t>Big pharma and big agribusiness can’t be trusted; local food and local control are healthier.</t>
  </si>
  <si>
    <t>Drug and hospital prices are crushing people. I don’t care who fixes it—just bring costs down.</t>
  </si>
  <si>
    <t>Small-town hospitals keep closing. Government must improve access to care for rural America.</t>
  </si>
  <si>
    <t>Vaccines are unsafe, full stop. No one should be forced or pressured to take them.</t>
  </si>
  <si>
    <t>My body, my choice—whether mandates, supplements, or experimental drugs. Government should butt out.</t>
  </si>
  <si>
    <t>Modern medicine ignores the whole person. Natural and alternative therapies deserve equal respect and coverage.</t>
  </si>
  <si>
    <t>Clean, whole-food living—not pills—keeps us healthy. The system ignores it because there’s no profit in it.</t>
  </si>
  <si>
    <t>Human beings thrive on meat-heavy, low-carb diets. Government guidelines are junk science.</t>
  </si>
  <si>
    <t>We must protect U.S. patients, workers, and supply chains first. Foreign competition and immigration come second.</t>
  </si>
  <si>
    <t>r11</t>
  </si>
  <si>
    <t>Free markets work best, but I defer to FDA and CDC experts on safety and innovation.</t>
  </si>
  <si>
    <t>sum r11 (c1 and c2)</t>
  </si>
  <si>
    <t>r12</t>
  </si>
  <si>
    <t>Competition—private insurance, transparent prices, fewer rules—is the key to cheaper, better care.</t>
  </si>
  <si>
    <t>sum r12 (c1 and c2)</t>
  </si>
  <si>
    <t>MOST</t>
  </si>
  <si>
    <t>LEAST</t>
  </si>
  <si>
    <t>NS</t>
  </si>
  <si>
    <t>FACTOR SCORES FOR MODELS</t>
  </si>
  <si>
    <t>zFACTOR_LEADERSHIP</t>
  </si>
  <si>
    <t xml:space="preserve">IDEOLOGY_GLOBALISM </t>
  </si>
  <si>
    <t xml:space="preserve">7 PT-SCALE REVERSED: </t>
  </si>
  <si>
    <t>America is better off as a leader in the global economy &lt;=&gt; We need to focus on America first</t>
  </si>
  <si>
    <t>zFACTOR_REFORM</t>
  </si>
  <si>
    <t xml:space="preserve">7-PT POLICY SCALE: </t>
  </si>
  <si>
    <t xml:space="preserve">M4Apts=(POLICY_M4A   - 1) / 6 * 3 + 1. </t>
  </si>
  <si>
    <t>MEAN</t>
  </si>
  <si>
    <t xml:space="preserve">POLICY_PUBLIC-OPTION: </t>
  </si>
  <si>
    <t>PubOp_pts = (POLICY_PUBLIC_OPTION - 1) / 6 * 3 + 1.</t>
  </si>
  <si>
    <t>The government should create a public insurance option to compete with private plans.</t>
  </si>
  <si>
    <t>ESI_pts   = (POLICY_ESI_REQ  - 1) / 6 * 3 + 1.</t>
  </si>
  <si>
    <t>zFACTOR_JUSTICE</t>
  </si>
  <si>
    <t>7-PT AGMT SCALE:</t>
  </si>
  <si>
    <t>zFACTOR_INDUSTRY</t>
  </si>
  <si>
    <t>REVERSED 7-PT AGMT SCALE:</t>
  </si>
  <si>
    <r>
      <t>VECTOR_TRUST</t>
    </r>
    <r>
      <rPr>
        <sz val="10"/>
        <color rgb="FF000000"/>
        <rFont val="Aptos Mono"/>
        <family val="3"/>
      </rPr>
      <t>=MEAN(TRUST_PHARMA, TRUST_HOSPITAL, TRUST_PROVIDER)</t>
    </r>
  </si>
  <si>
    <t>7-POINT TRUST SCALE (Do not trust at all &gt; Trust a great deal) [Pharmaceutical companies, Hospitals, Health care providers]</t>
  </si>
  <si>
    <t>TRUST_PHARMA</t>
  </si>
  <si>
    <t xml:space="preserve">7-PT TRUST SCALE: </t>
  </si>
  <si>
    <t>TRUST_HOSPITAL</t>
  </si>
  <si>
    <t>TRUST_PROVIDER</t>
  </si>
  <si>
    <r>
      <t>VECTOR_SCIENCE</t>
    </r>
    <r>
      <rPr>
        <sz val="10"/>
        <color rgb="FF000000"/>
        <rFont val="Aptos Mono"/>
        <family val="3"/>
      </rPr>
      <t>=MEAN(TRUST_NIH, TRUST_ACADEMIA).</t>
    </r>
  </si>
  <si>
    <t>7-POINT TRUST SCALE (Do not trust at all &gt; Trust a great deal) [National Institutes of Health (“NIH”),Academic and university research institutes]</t>
  </si>
  <si>
    <t>NIH</t>
  </si>
  <si>
    <r>
      <t>VECTOR_FREEDOM</t>
    </r>
    <r>
      <rPr>
        <sz val="10"/>
        <color rgb="FF000000"/>
        <rFont val="Aptos Mono"/>
        <family val="3"/>
      </rPr>
      <t>=ATTITUDE_MED_LIBERTY</t>
    </r>
  </si>
  <si>
    <t>Academic</t>
  </si>
  <si>
    <t>7-POINT AGREEMENT SCALE (Strongly Disagree &gt; Strongly Agree) [‘Mandating any medical treatment violates personal liberty.’]</t>
  </si>
  <si>
    <r>
      <t>VECTOR_MARKETS</t>
    </r>
    <r>
      <rPr>
        <sz val="10"/>
        <color rgb="FF000000"/>
        <rFont val="Aptos Mono"/>
        <family val="3"/>
      </rPr>
      <t>=IDEOLOGY_MFA.</t>
    </r>
  </si>
  <si>
    <t xml:space="preserve">7-POINT SEMANTIC DIFFERENTIAL SCALE [‘Healthcare is a basic right and government should be responsible for providing healthcare to all Americans’ </t>
  </si>
  <si>
    <t>&lt; -- &gt; ‘The private, free market healthcare system is better because it protects patient choice and access to higher quality care’]</t>
  </si>
  <si>
    <t>CENTROID DISTANCE MODEL (K MEANS) - PRIMARY TYPING OUTPUT (D1 AND D2)</t>
  </si>
  <si>
    <t>DO NOT ALTER: PRIMARY CENTROID MODEL</t>
  </si>
  <si>
    <t>DEMOCRAT SEGMENTS - CENTROIDS</t>
  </si>
  <si>
    <t>1.00 Idealists</t>
  </si>
  <si>
    <t>2.00 Progressives</t>
  </si>
  <si>
    <t>3.00 Protectionists</t>
  </si>
  <si>
    <t>4.00 Abundance</t>
  </si>
  <si>
    <t>5.00 Incrementalists</t>
  </si>
  <si>
    <t>6.00 Institutionalists</t>
  </si>
  <si>
    <t>ZBW_1</t>
  </si>
  <si>
    <t>ZBW_2</t>
  </si>
  <si>
    <t>ZBW_3</t>
  </si>
  <si>
    <t>ZBW_4</t>
  </si>
  <si>
    <t>ZBW_5</t>
  </si>
  <si>
    <t>ZBW_6</t>
  </si>
  <si>
    <t>ZBW_7</t>
  </si>
  <si>
    <t>ZBW_8</t>
  </si>
  <si>
    <t>ZBW_9</t>
  </si>
  <si>
    <t>ZBW_10</t>
  </si>
  <si>
    <t>ZFACTOR_REFORM</t>
  </si>
  <si>
    <t>ZFACTOR_LEADERSHIP</t>
  </si>
  <si>
    <t>ZFACTOR_JUSTICE</t>
  </si>
  <si>
    <t>ZFACTOR_INDUSTRY</t>
  </si>
  <si>
    <t>sum off squares</t>
  </si>
  <si>
    <t>avg: D₂/D1</t>
  </si>
  <si>
    <t>0.2 threshold</t>
  </si>
  <si>
    <t>D₁</t>
  </si>
  <si>
    <t>D₂</t>
  </si>
  <si>
    <t>REPUBLICAN SEGMENTS - CENTROIDS</t>
  </si>
  <si>
    <t>Consumer Empowerment Champions</t>
  </si>
  <si>
    <t>Holistic Health Naturalists</t>
  </si>
  <si>
    <t>Traditional Conservatives</t>
  </si>
  <si>
    <t>Paleo Freedom Fighters</t>
  </si>
  <si>
    <t>Price Populists</t>
  </si>
  <si>
    <t>Wellness Evangelists</t>
  </si>
  <si>
    <t>Radical Futurists</t>
  </si>
  <si>
    <t>Vaccine Skeptics</t>
  </si>
  <si>
    <t xml:space="preserve">Medical Freedom Libertarians </t>
  </si>
  <si>
    <t>Trust The Science Pragmatists</t>
  </si>
  <si>
    <t>LOGIT MODEL - CONFIDENCE LEVEL (IF TWO MODELS DISAGREE ON FIRST &amp; SECOND TYPE - ALWAYS USE CENTROID DISTANCE)</t>
  </si>
  <si>
    <t>DO NOT ALTER: SECONDARY LOGIT MODEL</t>
  </si>
  <si>
    <t>Intercept</t>
  </si>
  <si>
    <t>0b</t>
  </si>
  <si>
    <t>BLANK</t>
  </si>
  <si>
    <t>reference segment</t>
  </si>
  <si>
    <t>η</t>
  </si>
  <si>
    <t>exp(ηₖ)</t>
  </si>
  <si>
    <t>Pₖ</t>
  </si>
  <si>
    <t>P₁</t>
  </si>
  <si>
    <t>P₂</t>
  </si>
  <si>
    <t xml:space="preserve">DO NOT ALTER: </t>
  </si>
  <si>
    <t>SECONDARY LOGIT MODEL</t>
  </si>
  <si>
    <t>ref</t>
  </si>
  <si>
    <t>VECTOR_TRUST</t>
  </si>
  <si>
    <t>VECTOR_SCIENCE</t>
  </si>
  <si>
    <t>VECTOR_FREEDOM</t>
  </si>
  <si>
    <t>VECTOR_MARKETS</t>
  </si>
  <si>
    <t>Task</t>
  </si>
  <si>
    <t>Item 1</t>
  </si>
  <si>
    <t>Item 2</t>
  </si>
  <si>
    <t>Item 3</t>
  </si>
  <si>
    <t>Item 4</t>
  </si>
  <si>
    <t>Q1</t>
  </si>
  <si>
    <t>A1</t>
  </si>
  <si>
    <t>A3</t>
  </si>
  <si>
    <t>A5</t>
  </si>
  <si>
    <t>A7</t>
  </si>
  <si>
    <t>Q1_A1</t>
  </si>
  <si>
    <t>Q1_A3</t>
  </si>
  <si>
    <t>Q1_A5</t>
  </si>
  <si>
    <t>Q1_A7</t>
  </si>
  <si>
    <t>Q2</t>
  </si>
  <si>
    <t>A2</t>
  </si>
  <si>
    <t>A4</t>
  </si>
  <si>
    <t>A8</t>
  </si>
  <si>
    <t>A12</t>
  </si>
  <si>
    <t>Q2_A2</t>
  </si>
  <si>
    <t>Q2_A4</t>
  </si>
  <si>
    <t>Q2_A6</t>
  </si>
  <si>
    <t>Q2_A9</t>
  </si>
  <si>
    <t>Q3</t>
  </si>
  <si>
    <t>A10</t>
  </si>
  <si>
    <t>Q3_A3</t>
  </si>
  <si>
    <t>Q3_A5</t>
  </si>
  <si>
    <t>Q3_A8</t>
  </si>
  <si>
    <t>Q3_A10</t>
  </si>
  <si>
    <t>Q4</t>
  </si>
  <si>
    <t>A11</t>
  </si>
  <si>
    <t>Q4_A1</t>
  </si>
  <si>
    <t>Q4_A4</t>
  </si>
  <si>
    <t>Q4_A7</t>
  </si>
  <si>
    <t>Q4_A11</t>
  </si>
  <si>
    <t>Q5</t>
  </si>
  <si>
    <t>A9</t>
  </si>
  <si>
    <t>Q5_A2</t>
  </si>
  <si>
    <t>Q5_A5</t>
  </si>
  <si>
    <t>Q5_A9</t>
  </si>
  <si>
    <t>Q5_A12</t>
  </si>
  <si>
    <t>Q6</t>
  </si>
  <si>
    <t>A6</t>
  </si>
  <si>
    <t>Q6_A1</t>
  </si>
  <si>
    <t>Q6_A6</t>
  </si>
  <si>
    <t>Q6_A8</t>
  </si>
  <si>
    <t>Q6_A10</t>
  </si>
  <si>
    <t>Q7</t>
  </si>
  <si>
    <t>Q7_A3</t>
  </si>
  <si>
    <t>Q7_A7</t>
  </si>
  <si>
    <t>Q7_A9</t>
  </si>
  <si>
    <t>Q7_A11</t>
  </si>
  <si>
    <t>Q8</t>
  </si>
  <si>
    <t>Q8_A4</t>
  </si>
  <si>
    <t>Q8_A6</t>
  </si>
  <si>
    <t>Q8_A10</t>
  </si>
  <si>
    <t>Q8_A12</t>
  </si>
  <si>
    <t>Code</t>
  </si>
  <si>
    <t>Statement (abbrev.)</t>
  </si>
  <si>
    <t>&lt;br&gt;</t>
  </si>
  <si>
    <t>&lt;br&gt;&lt;br&gt;</t>
  </si>
  <si>
    <r>
      <t>VECTOR_FREEDOM</t>
    </r>
    <r>
      <rPr>
        <sz val="10"/>
        <color rgb="FF000000"/>
        <rFont val="Aptos Mono"/>
        <family val="3"/>
      </rPr>
      <t>=ATTITUDE_MED_</t>
    </r>
  </si>
  <si>
    <t>LIBERTY</t>
  </si>
  <si>
    <t>7-POINT SEMANTIC DIFFERENTIAL SCALE [‘Healthcare is a basic right and government should be responsible for providing healthcare to all Americans’ &lt; -- &gt; ‘The private, free market healthcare system is better because it protects patient choice and access to higher quality care’]</t>
  </si>
  <si>
    <t>Parameters (B- coefficients)</t>
  </si>
  <si>
    <t>Traditional Conservative</t>
  </si>
  <si>
    <t>Vaccine Skeptics (REF)</t>
  </si>
  <si>
    <t/>
  </si>
  <si>
    <t>Health Care Incrementalists</t>
  </si>
  <si>
    <t>Global Institutionalists</t>
  </si>
  <si>
    <t>Universal Care Progressives</t>
  </si>
  <si>
    <t>Health Abundance Democrats</t>
  </si>
  <si>
    <t>Health Care Protectionists</t>
  </si>
  <si>
    <t>Faith and Justice Progressives</t>
  </si>
  <si>
    <t>1</t>
  </si>
  <si>
    <t>2</t>
  </si>
  <si>
    <t>3</t>
  </si>
  <si>
    <t>4</t>
  </si>
  <si>
    <t>5</t>
  </si>
  <si>
    <t>6</t>
  </si>
  <si>
    <t>ZDEM_CORE_Item_1_Utility</t>
  </si>
  <si>
    <t>Nagelkerke R² = 0.990 --&gt; 0.898
McFadden R² = 0.921 --&gt; 0.579</t>
  </si>
  <si>
    <t>ZDEM_CORE_Item_2_Utility</t>
  </si>
  <si>
    <t>ZDEM_CORE_Item_3_Utility</t>
  </si>
  <si>
    <t>ZDEM_CORE_Item_4_Utility</t>
  </si>
  <si>
    <t>ZDEM_CORE_Item_5_Utility</t>
  </si>
  <si>
    <t>ZDEM_CORE_Item_6_Utility</t>
  </si>
  <si>
    <t>ZDEM_CORE_Item_7_Utility</t>
  </si>
  <si>
    <t>ZDEM_CORE_Item_8_Utility</t>
  </si>
  <si>
    <t>ZDEM_CORE_Item_9_Utility</t>
  </si>
  <si>
    <t>ZDEM_CORE_Item_10_Utility</t>
  </si>
  <si>
    <t>"America is better off as a leader in the global economy &lt;=&gt; We need to focus on America first" [SCALE FLIPPED]</t>
  </si>
  <si>
    <t>IDEOLOGY_SCIENCE (ZSCIENCE_R)</t>
  </si>
  <si>
    <t>"Scientific progress should slow down until regulation catches up &lt;=&gt; Scientific progress ultimately benefits society even if regulation lags behind" [SCALE FLIPPED]</t>
  </si>
  <si>
    <t>IDEOLOGY_SOCIALISM (ZSOCIALISM_R)</t>
  </si>
  <si>
    <t>"Socialism &lt;=&gt; Capitalism" [SCALE FLIPPED]</t>
  </si>
  <si>
    <t>ZTRUST_BIOTECH</t>
  </si>
  <si>
    <t>7-PT TRUST "Small start-up biotech companies"</t>
  </si>
  <si>
    <t>7-PT TRUST "Pharmaceutical companies"</t>
  </si>
  <si>
    <t>ZTRUST_MEDICARE</t>
  </si>
  <si>
    <t>7-PT TRUST "Medicare"</t>
  </si>
  <si>
    <t>POLICY_GENDER_CARE (ZPOLICY_22B)</t>
  </si>
  <si>
    <t>7-PT AGREEMENT SCALE "Insurance should be required to cover gender-affirming care for adults who seek it"</t>
  </si>
  <si>
    <t>POLICY_EARLY_ACCESS (ZPOLICY_13A)</t>
  </si>
  <si>
    <t>7-PT AGREEMENT SCALE "Terminally ill patients should get automatic access to experimental drugs once Phase I safety is shown"</t>
  </si>
  <si>
    <t>7-PT AGREEMENT SCALE "The government should create a public insurance option to compete with private plans"</t>
  </si>
  <si>
    <t>ZVECTOR_REFORM</t>
  </si>
  <si>
    <t>ZVECTOR_EQUITY</t>
  </si>
  <si>
    <t>ZVECTOR_LEADERSHIP</t>
  </si>
  <si>
    <t>ZVECTOR_INDUSTRY</t>
  </si>
  <si>
    <t xml:space="preserve">                                +------------------------------------+</t>
  </si>
  <si>
    <t xml:space="preserve">                                  RESPONDENT INPUTS (FIELD DATA)  </t>
  </si>
  <si>
    <t xml:space="preserve">                                10 MaxDiff BW Scores (Raw Best–Worst per item):</t>
  </si>
  <si>
    <r>
      <t xml:space="preserve">                                    BW</t>
    </r>
    <r>
      <rPr>
        <vertAlign val="subscript"/>
        <sz val="11"/>
        <color theme="1"/>
        <rFont val="Arial Nova Light"/>
        <family val="2"/>
      </rPr>
      <t>1</t>
    </r>
    <r>
      <rPr>
        <sz val="11"/>
        <color theme="1"/>
        <rFont val="Arial Nova Light"/>
        <family val="2"/>
      </rPr>
      <t>, BW</t>
    </r>
    <r>
      <rPr>
        <vertAlign val="subscript"/>
        <sz val="11"/>
        <color theme="1"/>
        <rFont val="Arial Nova Light"/>
        <family val="2"/>
      </rPr>
      <t>2</t>
    </r>
    <r>
      <rPr>
        <sz val="11"/>
        <color theme="1"/>
        <rFont val="Arial Nova Light"/>
        <family val="2"/>
      </rPr>
      <t>, BW</t>
    </r>
    <r>
      <rPr>
        <vertAlign val="subscript"/>
        <sz val="11"/>
        <color theme="1"/>
        <rFont val="Arial Nova Light"/>
        <family val="2"/>
      </rPr>
      <t>3</t>
    </r>
    <r>
      <rPr>
        <sz val="11"/>
        <color theme="1"/>
        <rFont val="Arial Nova Light"/>
        <family val="2"/>
      </rPr>
      <t>, … BW</t>
    </r>
    <r>
      <rPr>
        <vertAlign val="subscript"/>
        <sz val="11"/>
        <color theme="1"/>
        <rFont val="Arial Nova Light"/>
        <family val="2"/>
      </rPr>
      <t>₁2</t>
    </r>
  </si>
  <si>
    <t xml:space="preserve">                                 (+1 = Best, –1 = Worst, 0 = Not Selected)                                         </t>
  </si>
  <si>
    <r>
      <t>BW</t>
    </r>
    <r>
      <rPr>
        <vertAlign val="subscript"/>
        <sz val="11"/>
        <color theme="6"/>
        <rFont val="Arial Nova Light"/>
        <family val="2"/>
      </rPr>
      <t>1</t>
    </r>
  </si>
  <si>
    <t>BW₂</t>
  </si>
  <si>
    <t>BW₃</t>
  </si>
  <si>
    <t>BW₄</t>
  </si>
  <si>
    <t>BW₅</t>
  </si>
  <si>
    <t>BW₆</t>
  </si>
  <si>
    <t>BW₇</t>
  </si>
  <si>
    <t>BW₈</t>
  </si>
  <si>
    <t>BW₉</t>
  </si>
  <si>
    <t>BW₁₀</t>
  </si>
  <si>
    <t>BW₁₁</t>
  </si>
  <si>
    <t>BW₁₂</t>
  </si>
  <si>
    <t xml:space="preserve">                                +------------------+-----------------+</t>
  </si>
  <si>
    <t xml:space="preserve">                                                  </t>
  </si>
  <si>
    <t>Item</t>
  </si>
  <si>
    <t>zBW</t>
  </si>
  <si>
    <r>
      <t>BW</t>
    </r>
    <r>
      <rPr>
        <vertAlign val="subscript"/>
        <sz val="11"/>
        <color theme="1"/>
        <rFont val="Arial Nova Light"/>
        <family val="2"/>
      </rPr>
      <t>1</t>
    </r>
  </si>
  <si>
    <t>(BW1 - u) / σ</t>
  </si>
  <si>
    <t xml:space="preserve">                                    STANDARDIZE BW SCORES </t>
  </si>
  <si>
    <t xml:space="preserve">                                12 MaxDiff Standardized BW Scores (field-standardized to match centroid scale):</t>
  </si>
  <si>
    <r>
      <t xml:space="preserve">                                    zBW</t>
    </r>
    <r>
      <rPr>
        <vertAlign val="subscript"/>
        <sz val="11"/>
        <color theme="1"/>
        <rFont val="Arial Nova Light"/>
        <family val="2"/>
      </rPr>
      <t>1</t>
    </r>
    <r>
      <rPr>
        <sz val="11"/>
        <color theme="1"/>
        <rFont val="Arial Nova Light"/>
        <family val="2"/>
      </rPr>
      <t>, zBW</t>
    </r>
    <r>
      <rPr>
        <vertAlign val="subscript"/>
        <sz val="11"/>
        <color theme="1"/>
        <rFont val="Arial Nova Light"/>
        <family val="2"/>
      </rPr>
      <t>2</t>
    </r>
    <r>
      <rPr>
        <sz val="11"/>
        <color theme="1"/>
        <rFont val="Arial Nova Light"/>
        <family val="2"/>
      </rPr>
      <t>, zBW</t>
    </r>
    <r>
      <rPr>
        <vertAlign val="subscript"/>
        <sz val="11"/>
        <color theme="1"/>
        <rFont val="Arial Nova Light"/>
        <family val="2"/>
      </rPr>
      <t>3</t>
    </r>
    <r>
      <rPr>
        <sz val="11"/>
        <color theme="1"/>
        <rFont val="Arial Nova Light"/>
        <family val="2"/>
      </rPr>
      <t>, … zBW</t>
    </r>
    <r>
      <rPr>
        <vertAlign val="subscript"/>
        <sz val="11"/>
        <color theme="1"/>
        <rFont val="Arial Nova Light"/>
        <family val="2"/>
      </rPr>
      <t>₁2</t>
    </r>
  </si>
  <si>
    <t xml:space="preserve">                                 (mean and stdev constant))                                                    </t>
  </si>
  <si>
    <t>+----------------------------------------------------------------------------------------------+</t>
  </si>
  <si>
    <t xml:space="preserve">|                             A. 12-ITEM MAXDIFF CENTROID MODEL                                                                                </t>
  </si>
  <si>
    <t xml:space="preserve">|                    </t>
  </si>
  <si>
    <t xml:space="preserve">|  10 SEGMENT CENTROIDS (C₁ … C₁₀)                                                    </t>
  </si>
  <si>
    <t xml:space="preserve">|  Each centroid is a 12-element vector:                                   </t>
  </si>
  <si>
    <t xml:space="preserve">|                                                                              </t>
  </si>
  <si>
    <t>(Z-C1)^2</t>
  </si>
  <si>
    <t xml:space="preserve">|      C₁ = [-0.126, -0.195, 0.852, 0.629, -0.959, 0.771, -0.829, -0.578, -0.369, 1.028, 0.480, 0.856] </t>
  </si>
  <si>
    <t xml:space="preserve">|      C₂ = [-0.405, -0.464, -0.531, 0.350, 0.627, -0.238, 1.341, 0.647, 0.167, -1.332, 0.213, -0.784] </t>
  </si>
  <si>
    <t xml:space="preserve">|      ...                                                                           </t>
  </si>
  <si>
    <t>|      C₁₀ = [0.207, -0.286,-0.456, 1.398, -0.049, -0.908, -0.391, -1.365, -0.087,-0.229, 1.092,-0.235]</t>
  </si>
  <si>
    <t xml:space="preserve">|                                                                                             </t>
  </si>
  <si>
    <t xml:space="preserve">|  DISTANCE COMPUTATION                                                                       </t>
  </si>
  <si>
    <t xml:space="preserve">|   For each segment k:                                                                       </t>
  </si>
  <si>
    <t xml:space="preserve">|        Dₖ = Σ_j (Z_j  – Cₖⱼ)²                                                               </t>
  </si>
  <si>
    <t xml:space="preserve">|  PRIMARY ASSIGNMENT                                                                         </t>
  </si>
  <si>
    <t xml:space="preserve">|        SEG_CENT = argminₖ (Dₖ)                                                              </t>
  </si>
  <si>
    <t xml:space="preserve">|  DISTANCE GAP (STABILITY INDICATOR)                                                         </t>
  </si>
  <si>
    <t>D1 (sum of squares)</t>
  </si>
  <si>
    <t xml:space="preserve">|        D₁ = smallest distance                                                               </t>
  </si>
  <si>
    <t xml:space="preserve">|        D₂ = second-smallest distance                                                        </t>
  </si>
  <si>
    <t xml:space="preserve">|         D₂/ D₁                                                                         </t>
  </si>
  <si>
    <t>DIST_RATIO</t>
  </si>
  <si>
    <t>+--------------------------------------------+-------------------------------------------------+</t>
  </si>
  <si>
    <t xml:space="preserve">                                            </t>
  </si>
  <si>
    <t>Values near 1.00 → ambiguous</t>
  </si>
  <si>
    <t>Values  +/- 0.10 → clearer</t>
  </si>
  <si>
    <t>Values +/- 0.2 → strong</t>
  </si>
  <si>
    <t>IDEOLOGY_MFA.</t>
  </si>
  <si>
    <t xml:space="preserve">                                 4 Attitudinal Vectors:      </t>
  </si>
  <si>
    <t xml:space="preserve">                                  Trust, Science, Freedom, Markets</t>
  </si>
  <si>
    <t xml:space="preserve">|                             B. MULTINOMIAL LOGISTIC MODEL                                   </t>
  </si>
  <si>
    <t xml:space="preserve">|  REGRESSION COEFFICIENTS (relative to Segment 10 reference):                                </t>
  </si>
  <si>
    <t xml:space="preserve">|  Segment 1 (Pragmatists):                                                                   </t>
  </si>
  <si>
    <t xml:space="preserve">|     η₁ = -1.802 + 0.865*Trust  -0.106*Science  -0.412*Freedom + 0.048*Markets               </t>
  </si>
  <si>
    <t xml:space="preserve">|  Segment 2 (Reformers):                                                                     </t>
  </si>
  <si>
    <t xml:space="preserve">|     η₂ = -0.387 + 0.567*Trust  +0.082*Science  -0.450*Freedom + 0.131*Markets               </t>
  </si>
  <si>
    <t xml:space="preserve">|  ... (all nine segments, coefficients same as table)                                        </t>
  </si>
  <si>
    <t xml:space="preserve">|  Segment 10 is reference: η₁₀ = 0                                                           </t>
  </si>
  <si>
    <t xml:space="preserve">|  PROBABILITY COMPUTATION (Softmax):                                                         </t>
  </si>
  <si>
    <t xml:space="preserve">|     Pₖ = exp(ηₖ) / Σ_h exp(η_h)                                                            </t>
  </si>
  <si>
    <t xml:space="preserve">|  SECONDARY ASSIGNMENT                                                                       </t>
  </si>
  <si>
    <t xml:space="preserve">|     SEG_REG = argmaxₖ Pₖ                                                                    </t>
  </si>
  <si>
    <t xml:space="preserve">                                             v</t>
  </si>
  <si>
    <t xml:space="preserve">|                         C. HIERARCHICAL HYBRID DECISION LOGIC                               </t>
  </si>
  <si>
    <t xml:space="preserve">|  RULE: Choose classifier based on ΔD stability:                                              </t>
  </si>
  <si>
    <t>DISTANCE RANK</t>
  </si>
  <si>
    <t>|         Distance rank - 1 = smallest distance</t>
  </si>
  <si>
    <t>PROBABILITY RANK</t>
  </si>
  <si>
    <t>COMBINED RANK</t>
  </si>
  <si>
    <t>|        Probability rank - with 1 = highest probability</t>
  </si>
  <si>
    <t xml:space="preserve">|  OUTPUTS STORED FOR EACH RESPONDENT                                                         </t>
  </si>
  <si>
    <t xml:space="preserve">|        - SEG_CENT      (Centroid-based segment)                                             </t>
  </si>
  <si>
    <t xml:space="preserve">|        - SEG_REG       (Regression-based segment)                                           </t>
  </si>
  <si>
    <t xml:space="preserve">|        - SEG_FINAL     (Hybrid final segment)                                               </t>
  </si>
  <si>
    <t xml:space="preserve">|        - ΔD                 (Distance-gap diagnostic)                                            </t>
  </si>
  <si>
    <t xml:space="preserve">|        - P₁ … P₁₀        (Regression probabilities, optional)                                 </t>
  </si>
  <si>
    <t>Mean</t>
  </si>
  <si>
    <t>Std Dev</t>
  </si>
  <si>
    <t>VECTOR_LEADERSHIP</t>
  </si>
  <si>
    <t>"America is better off as a leader in the global economy &lt;=&gt; We need to focus on America first"</t>
  </si>
  <si>
    <t>VECTOR_REFORM</t>
  </si>
  <si>
    <t xml:space="preserve">MEAN </t>
  </si>
  <si>
    <t>"Health insurance should be provided through a single national health insurance system run by the government."</t>
  </si>
  <si>
    <t>"The government should create a public insurance option to compete with private plans."</t>
  </si>
  <si>
    <t xml:space="preserve"> "Large employers should be required to provide health insurance to their workers."</t>
  </si>
  <si>
    <t>VECTOR_JUSTICE</t>
  </si>
  <si>
    <t>ATTITUDE_SDOH (ATTITUDE_30C)</t>
  </si>
  <si>
    <t>"Addressing housing, food and other social drivers of health should receive higher priority than paying hospitals for new high-tech procedures"</t>
  </si>
  <si>
    <t>"The federal government should invest extra funds in communities of color that have suffered historic health injustices, even if it means higher taxes"</t>
  </si>
  <si>
    <t>VECTOR_INDUSTRY</t>
  </si>
  <si>
    <t>ATTITUDE_PROFIT</t>
  </si>
  <si>
    <t>Big pharma put profits over patients'</t>
  </si>
  <si>
    <t>ATTITUDE_PHARMA_IP</t>
  </si>
  <si>
    <t>Pharma companies abuse the patent system to prevent competition and delay generic drugs'</t>
  </si>
  <si>
    <t xml:space="preserve">                                12 MaxDiff BW Scores (Raw Best–Worst per item):</t>
  </si>
  <si>
    <t>z score</t>
  </si>
  <si>
    <t>centroid</t>
  </si>
  <si>
    <t>Insurance should be required to cover gender-affirming care for adults who seek it</t>
  </si>
  <si>
    <t>Terminally ill patients should get automatic access to experimental drugs once Phase I safety is shown</t>
  </si>
  <si>
    <t xml:space="preserve">&gt;   - 1) / 6 * 3 + 1. </t>
  </si>
  <si>
    <t>Addressing housing, food and other social drivers of health should receive higher priority than paying hospitals for new high-tech procedures</t>
  </si>
  <si>
    <t>reverse</t>
  </si>
  <si>
    <t>Scientific progress should slow down until regulation catches up</t>
  </si>
  <si>
    <t>Scientific progress ultimately benefits society even if regulation lags behind</t>
  </si>
  <si>
    <t>Socialism</t>
  </si>
  <si>
    <t>Capitalism</t>
  </si>
  <si>
    <t>Small start-up biotech companies</t>
  </si>
  <si>
    <t>Medicare</t>
  </si>
  <si>
    <t>MAXDIFF (10 tasks X 4 items; 10 items)</t>
  </si>
  <si>
    <t>`</t>
  </si>
  <si>
    <t>America is better off as a leader in the global economy &lt;=&gt; We need to focus on America first [SCALE FLIPPED]</t>
  </si>
  <si>
    <t>Scientific progress should slow down until regulation catches up &lt;=&gt; Scientific progress ultimately benefits society even if regulation lags behind [SCALE FLIPPED]</t>
  </si>
  <si>
    <t>Socialism &lt;=&gt; Capitalism [SCALE FLIPPED]</t>
  </si>
  <si>
    <t>7-PT TRUST Small start-up biotech companies</t>
  </si>
  <si>
    <t>7-PT TRUST Pharmaceutical companies</t>
  </si>
  <si>
    <t>7-PT TRUST Medicare</t>
  </si>
  <si>
    <t>7-PT AGREEMENT SCALE Insurance should be required to cover gender-affirming care for adults who seek it</t>
  </si>
  <si>
    <t>7-PT AGREEMENT SCALE Terminally ill patients should get automatic access to experimental drugs once Phase I safety is shown</t>
  </si>
  <si>
    <t>7-PT AGREEMENT SCALE The government should create a public insurance option to compete with private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</si>
</sst>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"/>
    <numFmt numFmtId="165" formatCode="0.000"/>
    <numFmt numFmtId="166" formatCode="0.0"/>
    <numFmt numFmtId="167" formatCode="0.000000"/>
    <numFmt numFmtId="168" formatCode="0.00000"/>
    <numFmt numFmtId="169" formatCode="0.0%"/>
  </numFmts>
  <fonts count="80">
    <font>
      <sz val="11"/>
      <color theme="1"/>
      <name val="Arial Nova Light"/>
      <family val="2"/>
    </font>
    <font>
      <b/>
      <sz val="11"/>
      <color theme="1"/>
      <name val="Arial Nova Light"/>
      <family val="2"/>
    </font>
    <font>
      <sz val="8"/>
      <name val="Arial Nova Light"/>
      <family val="2"/>
    </font>
    <font>
      <sz val="11"/>
      <color theme="1"/>
      <name val="Aptos Light"/>
      <family val="2"/>
    </font>
    <font>
      <sz val="9"/>
      <color theme="1"/>
      <name val="Calibri Light"/>
      <family val="2"/>
    </font>
    <font>
      <sz val="8"/>
      <color theme="1"/>
      <name val="Calibri Light"/>
      <family val="2"/>
    </font>
    <font>
      <sz val="10"/>
      <name val="Arial"/>
      <family val="2"/>
    </font>
    <font>
      <sz val="11"/>
      <color theme="1"/>
      <name val="Arial Nova Light"/>
      <family val="2"/>
    </font>
    <font>
      <b/>
      <sz val="11"/>
      <color theme="3"/>
      <name val="Arial Nova Light"/>
      <family val="2"/>
    </font>
    <font>
      <sz val="11"/>
      <color rgb="FFFF0000"/>
      <name val="Arial Nova Light"/>
      <family val="2"/>
    </font>
    <font>
      <sz val="11"/>
      <name val="Aptos Light"/>
      <family val="2"/>
    </font>
    <font>
      <b/>
      <sz val="10"/>
      <color rgb="FF000000"/>
      <name val="Aptos Mono"/>
      <family val="3"/>
    </font>
    <font>
      <sz val="10"/>
      <color rgb="FF000000"/>
      <name val="Aptos Mono"/>
      <family val="3"/>
    </font>
    <font>
      <sz val="8"/>
      <color rgb="FFC00000"/>
      <name val="Aptos Mono"/>
      <family val="3"/>
    </font>
    <font>
      <sz val="18"/>
      <color theme="1"/>
      <name val="Arial Nova Light"/>
      <family val="2"/>
    </font>
    <font>
      <b/>
      <sz val="16"/>
      <color theme="1"/>
      <name val="Arial Nova Light"/>
      <family val="2"/>
    </font>
    <font>
      <vertAlign val="subscript"/>
      <sz val="11"/>
      <color theme="1"/>
      <name val="Arial Nova Light"/>
      <family val="2"/>
    </font>
    <font>
      <b/>
      <sz val="11"/>
      <color rgb="FFFF0000"/>
      <name val="Arial Nova Light"/>
      <family val="2"/>
    </font>
    <font>
      <b/>
      <sz val="12"/>
      <color rgb="FFFF0000"/>
      <name val="Arial Nova Light"/>
      <family val="2"/>
    </font>
    <font>
      <sz val="11"/>
      <color theme="8"/>
      <name val="Arial Nova Light"/>
      <family val="2"/>
    </font>
    <font>
      <b/>
      <sz val="11"/>
      <color theme="8"/>
      <name val="Arial Nova Light"/>
      <family val="2"/>
    </font>
    <font>
      <sz val="11"/>
      <color theme="6"/>
      <name val="Arial Nova Light"/>
      <family val="2"/>
    </font>
    <font>
      <vertAlign val="subscript"/>
      <sz val="11"/>
      <color theme="6"/>
      <name val="Arial Nova Light"/>
      <family val="2"/>
    </font>
    <font>
      <sz val="11"/>
      <color theme="6"/>
      <name val="Aptos Mono"/>
      <family val="3"/>
    </font>
    <font>
      <b/>
      <sz val="12"/>
      <color theme="3" tint="0.499984740745262"/>
      <name val="Arial Nova Light"/>
      <family val="2"/>
    </font>
    <font>
      <sz val="11"/>
      <color theme="3" tint="0.499984740745262"/>
      <name val="Arial Nova Light"/>
      <family val="2"/>
    </font>
    <font>
      <b/>
      <sz val="12"/>
      <color theme="4" tint="0.59999389629810485"/>
      <name val="Arial Nova Light"/>
      <family val="2"/>
    </font>
    <font>
      <sz val="11"/>
      <color theme="4" tint="0.59999389629810485"/>
      <name val="Arial Nova Light"/>
      <family val="2"/>
    </font>
    <font>
      <b/>
      <sz val="12"/>
      <color theme="5" tint="-0.249977111117893"/>
      <name val="Arial Nova Light"/>
      <family val="2"/>
    </font>
    <font>
      <sz val="11"/>
      <color theme="5" tint="-0.249977111117893"/>
      <name val="Arial Nova Light"/>
      <family val="2"/>
    </font>
    <font>
      <b/>
      <sz val="11"/>
      <color theme="5" tint="-0.249977111117893"/>
      <name val="Arial Nova Light"/>
      <family val="2"/>
    </font>
    <font>
      <b/>
      <sz val="11"/>
      <color theme="4"/>
      <name val="Arial Nova Light"/>
      <family val="2"/>
    </font>
    <font>
      <b/>
      <sz val="11"/>
      <color theme="3" tint="0.499984740745262"/>
      <name val="Arial Nova Light"/>
      <family val="2"/>
    </font>
    <font>
      <sz val="11"/>
      <color rgb="FFFFC000"/>
      <name val="Arial Nova Light"/>
      <family val="2"/>
    </font>
    <font>
      <sz val="11"/>
      <color theme="9" tint="0.39997558519241921"/>
      <name val="Arial Nova Light"/>
      <family val="2"/>
    </font>
    <font>
      <sz val="10"/>
      <color theme="1"/>
      <name val="Arial Nova Light"/>
      <family val="2"/>
    </font>
    <font>
      <sz val="9"/>
      <color theme="1"/>
      <name val="Arial Nova Light"/>
      <family val="2"/>
    </font>
    <font>
      <b/>
      <sz val="14"/>
      <color rgb="FFFF0000"/>
      <name val="Arial Nova Light"/>
      <family val="2"/>
    </font>
    <font>
      <b/>
      <sz val="14"/>
      <color theme="3"/>
      <name val="Arial Nova Light"/>
      <family val="2"/>
    </font>
    <font>
      <sz val="11"/>
      <color theme="3"/>
      <name val="Arial Nova Light"/>
      <family val="2"/>
    </font>
    <font>
      <sz val="18"/>
      <color theme="3"/>
      <name val="Aptos Display"/>
      <family val="2"/>
      <scheme val="major"/>
    </font>
    <font>
      <b/>
      <sz val="13"/>
      <color theme="3"/>
      <name val="Arial Nova Light"/>
      <family val="2"/>
    </font>
    <font>
      <b/>
      <sz val="11"/>
      <color rgb="FF3F3F3F"/>
      <name val="Arial Nova Light"/>
      <family val="2"/>
    </font>
    <font>
      <b/>
      <sz val="11"/>
      <color theme="0"/>
      <name val="Arial Nova Light"/>
      <family val="2"/>
    </font>
    <font>
      <sz val="11"/>
      <color theme="0"/>
      <name val="Arial Nova Light"/>
      <family val="2"/>
    </font>
    <font>
      <sz val="10"/>
      <color theme="1" tint="0.499984740745262"/>
      <name val="Arial Nova Light"/>
      <family val="2"/>
    </font>
    <font>
      <sz val="9"/>
      <color theme="1" tint="0.499984740745262"/>
      <name val="Arial Nova Light"/>
      <family val="2"/>
    </font>
    <font>
      <sz val="12"/>
      <color theme="1"/>
      <name val="Arial Nova Light"/>
      <family val="2"/>
    </font>
    <font>
      <sz val="11"/>
      <color theme="1"/>
      <name val="Calibri Light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sz val="8"/>
      <color theme="1"/>
      <name val="Arial Nova Light"/>
      <family val="2"/>
    </font>
    <font>
      <b/>
      <sz val="9"/>
      <color theme="1"/>
      <name val="Calibri Light"/>
      <family val="2"/>
    </font>
    <font>
      <b/>
      <sz val="10"/>
      <color theme="1"/>
      <name val="Calibri"/>
      <family val="2"/>
    </font>
    <font>
      <sz val="8"/>
      <color rgb="FFFF0000"/>
      <name val="Arial Nova Light"/>
      <family val="2"/>
    </font>
    <font>
      <b/>
      <sz val="10"/>
      <color theme="1"/>
      <name val="Calibri Light"/>
      <family val="2"/>
    </font>
    <font>
      <sz val="9"/>
      <color rgb="FF00B0F0"/>
      <name val="Arial Nova Light"/>
      <family val="2"/>
    </font>
    <font>
      <sz val="9"/>
      <color theme="1"/>
      <name val="Times New Roman"/>
      <family val="1"/>
    </font>
    <font>
      <sz val="9"/>
      <color rgb="FFFF0000"/>
      <name val="Arial Nova Light"/>
      <family val="2"/>
    </font>
    <font>
      <sz val="9"/>
      <color theme="8"/>
      <name val="Arial Nova Light"/>
      <family val="2"/>
    </font>
    <font>
      <strike/>
      <sz val="8"/>
      <color theme="1"/>
      <name val="Arial Nova Light"/>
      <family val="2"/>
    </font>
    <font>
      <strike/>
      <sz val="9"/>
      <color rgb="FF00B0F0"/>
      <name val="Arial Nova Light"/>
      <family val="2"/>
    </font>
    <font>
      <strike/>
      <sz val="11"/>
      <color theme="1"/>
      <name val="Arial Nova Light"/>
      <family val="2"/>
    </font>
    <font>
      <sz val="8"/>
      <color theme="1" tint="0.499984740745262"/>
      <name val="Arial Nova Light"/>
      <family val="2"/>
    </font>
    <font>
      <b/>
      <sz val="12"/>
      <color theme="0"/>
      <name val="Arial Nova Light"/>
      <family val="2"/>
    </font>
    <font>
      <b/>
      <sz val="12"/>
      <color theme="1"/>
      <name val="Arial Nova Light"/>
      <family val="2"/>
    </font>
    <font>
      <strike/>
      <sz val="10"/>
      <color theme="1"/>
      <name val="Arial Nova Light"/>
      <family val="2"/>
    </font>
    <font>
      <b/>
      <strike/>
      <sz val="11"/>
      <color rgb="FF3F3F3F"/>
      <name val="Arial Nova Light"/>
      <family val="2"/>
    </font>
    <font>
      <strike/>
      <sz val="11"/>
      <color theme="0"/>
      <name val="Arial Nova Light"/>
      <family val="2"/>
    </font>
    <font>
      <strike/>
      <sz val="9"/>
      <color theme="1" tint="0.499984740745262"/>
      <name val="Arial Nova Light"/>
      <family val="2"/>
    </font>
    <font>
      <strike/>
      <sz val="9"/>
      <color theme="1"/>
      <name val="Arial Nova Light"/>
      <family val="2"/>
    </font>
    <font>
      <b/>
      <sz val="22"/>
      <color theme="1"/>
      <name val="Arial Nova Light"/>
      <family val="2"/>
    </font>
    <font>
      <sz val="9"/>
      <color theme="9"/>
      <name val="Arial Nova Light"/>
      <family val="2"/>
    </font>
    <font>
      <sz val="18"/>
      <color rgb="FFFF0000"/>
      <name val="Aptos Display"/>
      <family val="2"/>
      <scheme val="major"/>
    </font>
    <font>
      <sz val="20"/>
      <color theme="1"/>
      <name val="Arial Nova Light"/>
      <family val="2"/>
    </font>
    <font>
      <sz val="11"/>
      <color theme="0"/>
      <name val="Aptos SemiBold"/>
      <family val="2"/>
    </font>
    <font>
      <b/>
      <sz val="11"/>
      <color theme="0"/>
      <name val="Aptos SemiBold"/>
      <family val="2"/>
    </font>
    <font>
      <b/>
      <sz val="18"/>
      <color theme="1"/>
      <name val="Arial Nova Light"/>
      <family val="2"/>
    </font>
    <font>
      <sz val="9"/>
      <color theme="7"/>
      <name val="Arial Nova Light"/>
      <family val="2"/>
    </font>
    <font>
      <sz val="11"/>
      <color theme="1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</fills>
  <borders count="56">
    <border>
      <left/>
      <right/>
      <top/>
      <bottom/>
      <diagonal/>
    </border>
    <border>
      <left/>
      <right style="dotted">
        <color rgb="FFD9D9D9"/>
      </right>
      <top style="dotted">
        <color rgb="FFD9D9D9"/>
      </top>
      <bottom style="dotted">
        <color rgb="FFD9D9D9"/>
      </bottom>
      <diagonal/>
    </border>
    <border>
      <left style="dotted">
        <color rgb="FFD9D9D9"/>
      </left>
      <right style="dotted">
        <color rgb="FFD9D9D9"/>
      </right>
      <top/>
      <bottom style="dotted">
        <color rgb="FFD9D9D9"/>
      </bottom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/>
      <right style="dotted">
        <color rgb="FFD9D9D9"/>
      </right>
      <top/>
      <bottom/>
      <diagonal/>
    </border>
    <border>
      <left style="dotted">
        <color rgb="FFD9D9D9"/>
      </left>
      <right style="dotted">
        <color rgb="FFD9D9D9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rgb="FFD9D9D9"/>
      </left>
      <right/>
      <top style="dotted">
        <color rgb="FFD9D9D9"/>
      </top>
      <bottom style="dotted">
        <color rgb="FFD9D9D9"/>
      </bottom>
      <diagonal/>
    </border>
    <border>
      <left/>
      <right/>
      <top style="dotted">
        <color rgb="FFD9D9D9"/>
      </top>
      <bottom style="dotted">
        <color rgb="FFD9D9D9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3" tint="9.9948118533890809E-2"/>
      </top>
      <bottom/>
      <diagonal/>
    </border>
    <border>
      <left/>
      <right/>
      <top style="thin">
        <color theme="3" tint="9.9948118533890809E-2"/>
      </top>
      <bottom/>
      <diagonal/>
    </border>
    <border>
      <left/>
      <right style="thin">
        <color indexed="64"/>
      </right>
      <top style="thin">
        <color theme="3" tint="9.9948118533890809E-2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14" applyNumberFormat="0" applyFill="0" applyAlignment="0" applyProtection="0"/>
    <xf numFmtId="0" fontId="8" fillId="0" borderId="15" applyNumberFormat="0" applyFill="0" applyAlignment="0" applyProtection="0"/>
    <xf numFmtId="0" fontId="42" fillId="9" borderId="17" applyNumberFormat="0" applyAlignment="0" applyProtection="0"/>
    <xf numFmtId="0" fontId="43" fillId="10" borderId="18" applyNumberFormat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</cellStyleXfs>
  <cellXfs count="3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0" fontId="0" fillId="2" borderId="0" xfId="0" applyFill="1" applyAlignment="1">
      <alignment vertical="center" wrapText="1"/>
    </xf>
    <xf numFmtId="165" fontId="3" fillId="0" borderId="0" xfId="0" applyNumberFormat="1" applyFont="1"/>
    <xf numFmtId="0" fontId="6" fillId="0" borderId="0" xfId="1"/>
    <xf numFmtId="0" fontId="5" fillId="0" borderId="2" xfId="0" applyFont="1" applyBorder="1" applyAlignment="1">
      <alignment horizontal="center" vertical="center" wrapText="1"/>
    </xf>
    <xf numFmtId="165" fontId="10" fillId="0" borderId="0" xfId="0" applyNumberFormat="1" applyFont="1"/>
    <xf numFmtId="0" fontId="11" fillId="0" borderId="0" xfId="0" applyFont="1" applyAlignment="1">
      <alignment horizontal="left" vertical="center" readingOrder="1"/>
    </xf>
    <xf numFmtId="0" fontId="13" fillId="0" borderId="0" xfId="0" applyFont="1" applyAlignment="1">
      <alignment horizontal="left" vertical="center" indent="1" readingOrder="1"/>
    </xf>
    <xf numFmtId="0" fontId="12" fillId="0" borderId="0" xfId="0" applyFont="1" applyAlignment="1">
      <alignment horizontal="left" vertical="center" readingOrder="1"/>
    </xf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/>
    <xf numFmtId="0" fontId="1" fillId="3" borderId="0" xfId="0" applyFont="1" applyFill="1"/>
    <xf numFmtId="0" fontId="15" fillId="3" borderId="0" xfId="0" applyFont="1" applyFill="1"/>
    <xf numFmtId="43" fontId="0" fillId="0" borderId="0" xfId="2" applyFont="1"/>
    <xf numFmtId="166" fontId="0" fillId="0" borderId="0" xfId="0" applyNumberFormat="1"/>
    <xf numFmtId="0" fontId="17" fillId="0" borderId="0" xfId="0" applyFont="1"/>
    <xf numFmtId="165" fontId="9" fillId="0" borderId="0" xfId="0" applyNumberFormat="1" applyFont="1"/>
    <xf numFmtId="166" fontId="17" fillId="0" borderId="0" xfId="0" applyNumberFormat="1" applyFont="1"/>
    <xf numFmtId="165" fontId="17" fillId="0" borderId="0" xfId="0" applyNumberFormat="1" applyFont="1"/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165" fontId="19" fillId="0" borderId="0" xfId="0" applyNumberFormat="1" applyFont="1"/>
    <xf numFmtId="165" fontId="20" fillId="0" borderId="0" xfId="0" applyNumberFormat="1" applyFont="1"/>
    <xf numFmtId="0" fontId="21" fillId="0" borderId="0" xfId="0" applyFont="1" applyAlignment="1">
      <alignment vertical="center" wrapText="1"/>
    </xf>
    <xf numFmtId="0" fontId="23" fillId="4" borderId="0" xfId="0" applyFont="1" applyFill="1" applyAlignment="1">
      <alignment horizontal="center"/>
    </xf>
    <xf numFmtId="0" fontId="21" fillId="4" borderId="0" xfId="0" applyFont="1" applyFill="1"/>
    <xf numFmtId="0" fontId="24" fillId="0" borderId="0" xfId="0" applyFont="1" applyAlignment="1">
      <alignment horizontal="center"/>
    </xf>
    <xf numFmtId="0" fontId="25" fillId="0" borderId="0" xfId="0" applyFont="1"/>
    <xf numFmtId="165" fontId="25" fillId="0" borderId="0" xfId="0" applyNumberFormat="1" applyFont="1"/>
    <xf numFmtId="0" fontId="26" fillId="0" borderId="0" xfId="0" applyFont="1" applyAlignment="1">
      <alignment horizontal="center"/>
    </xf>
    <xf numFmtId="0" fontId="27" fillId="0" borderId="0" xfId="0" applyFont="1"/>
    <xf numFmtId="165" fontId="27" fillId="0" borderId="0" xfId="0" applyNumberFormat="1" applyFont="1"/>
    <xf numFmtId="0" fontId="29" fillId="0" borderId="0" xfId="0" applyFont="1"/>
    <xf numFmtId="166" fontId="31" fillId="5" borderId="0" xfId="0" applyNumberFormat="1" applyFont="1" applyFill="1"/>
    <xf numFmtId="166" fontId="32" fillId="6" borderId="0" xfId="0" applyNumberFormat="1" applyFont="1" applyFill="1"/>
    <xf numFmtId="0" fontId="28" fillId="7" borderId="0" xfId="0" applyFont="1" applyFill="1"/>
    <xf numFmtId="0" fontId="29" fillId="7" borderId="0" xfId="0" applyFont="1" applyFill="1"/>
    <xf numFmtId="165" fontId="30" fillId="7" borderId="0" xfId="0" applyNumberFormat="1" applyFont="1" applyFill="1"/>
    <xf numFmtId="0" fontId="33" fillId="0" borderId="0" xfId="0" applyFont="1"/>
    <xf numFmtId="0" fontId="34" fillId="0" borderId="0" xfId="0" applyFont="1"/>
    <xf numFmtId="0" fontId="13" fillId="0" borderId="0" xfId="0" applyFont="1"/>
    <xf numFmtId="0" fontId="35" fillId="0" borderId="0" xfId="0" applyFont="1"/>
    <xf numFmtId="0" fontId="36" fillId="0" borderId="4" xfId="0" applyFont="1" applyBorder="1"/>
    <xf numFmtId="0" fontId="36" fillId="0" borderId="5" xfId="0" applyFont="1" applyBorder="1"/>
    <xf numFmtId="0" fontId="36" fillId="0" borderId="6" xfId="0" applyFont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36" fillId="0" borderId="12" xfId="0" applyFont="1" applyBorder="1"/>
    <xf numFmtId="0" fontId="0" fillId="4" borderId="13" xfId="0" applyFill="1" applyBorder="1"/>
    <xf numFmtId="0" fontId="37" fillId="0" borderId="0" xfId="0" applyFont="1" applyAlignment="1">
      <alignment horizontal="center"/>
    </xf>
    <xf numFmtId="0" fontId="14" fillId="3" borderId="0" xfId="0" applyFont="1" applyFill="1"/>
    <xf numFmtId="0" fontId="19" fillId="0" borderId="10" xfId="0" applyFont="1" applyBorder="1"/>
    <xf numFmtId="165" fontId="9" fillId="0" borderId="10" xfId="0" applyNumberFormat="1" applyFont="1" applyBorder="1"/>
    <xf numFmtId="165" fontId="19" fillId="0" borderId="10" xfId="0" applyNumberFormat="1" applyFont="1" applyBorder="1"/>
    <xf numFmtId="0" fontId="38" fillId="0" borderId="0" xfId="0" applyFont="1" applyAlignment="1">
      <alignment horizontal="center"/>
    </xf>
    <xf numFmtId="165" fontId="8" fillId="0" borderId="0" xfId="0" applyNumberFormat="1" applyFont="1"/>
    <xf numFmtId="165" fontId="39" fillId="0" borderId="0" xfId="0" applyNumberFormat="1" applyFont="1"/>
    <xf numFmtId="165" fontId="8" fillId="8" borderId="0" xfId="0" applyNumberFormat="1" applyFont="1" applyFill="1"/>
    <xf numFmtId="165" fontId="8" fillId="4" borderId="0" xfId="0" applyNumberFormat="1" applyFont="1" applyFill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65" fontId="0" fillId="0" borderId="8" xfId="0" applyNumberFormat="1" applyBorder="1"/>
    <xf numFmtId="0" fontId="0" fillId="0" borderId="9" xfId="0" applyBorder="1" applyAlignment="1">
      <alignment vertical="center" wrapText="1"/>
    </xf>
    <xf numFmtId="165" fontId="0" fillId="0" borderId="10" xfId="0" applyNumberFormat="1" applyBorder="1"/>
    <xf numFmtId="165" fontId="0" fillId="0" borderId="11" xfId="0" applyNumberFormat="1" applyBorder="1"/>
    <xf numFmtId="165" fontId="3" fillId="0" borderId="8" xfId="0" applyNumberFormat="1" applyFont="1" applyBorder="1"/>
    <xf numFmtId="165" fontId="3" fillId="0" borderId="10" xfId="0" applyNumberFormat="1" applyFont="1" applyBorder="1"/>
    <xf numFmtId="165" fontId="3" fillId="0" borderId="11" xfId="0" applyNumberFormat="1" applyFont="1" applyBorder="1"/>
    <xf numFmtId="164" fontId="0" fillId="0" borderId="8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0" fillId="0" borderId="0" xfId="0" applyAlignment="1">
      <alignment wrapText="1"/>
    </xf>
    <xf numFmtId="0" fontId="36" fillId="0" borderId="0" xfId="0" applyFont="1"/>
    <xf numFmtId="0" fontId="0" fillId="0" borderId="0" xfId="0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6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 wrapText="1"/>
    </xf>
    <xf numFmtId="0" fontId="45" fillId="0" borderId="0" xfId="0" applyFont="1" applyAlignment="1">
      <alignment horizontal="left" vertical="top"/>
    </xf>
    <xf numFmtId="0" fontId="45" fillId="0" borderId="0" xfId="0" applyFont="1"/>
    <xf numFmtId="0" fontId="0" fillId="0" borderId="0" xfId="0" quotePrefix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6" fillId="0" borderId="0" xfId="0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0" fontId="46" fillId="0" borderId="0" xfId="0" applyFont="1"/>
    <xf numFmtId="0" fontId="4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48" fillId="0" borderId="0" xfId="0" applyFont="1" applyAlignment="1">
      <alignment wrapText="1"/>
    </xf>
    <xf numFmtId="0" fontId="5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3" fillId="0" borderId="0" xfId="0" applyFont="1"/>
    <xf numFmtId="0" fontId="51" fillId="0" borderId="0" xfId="0" applyFont="1"/>
    <xf numFmtId="0" fontId="56" fillId="0" borderId="0" xfId="0" applyFont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vertical="center"/>
    </xf>
    <xf numFmtId="0" fontId="58" fillId="0" borderId="0" xfId="0" applyFont="1"/>
    <xf numFmtId="0" fontId="59" fillId="0" borderId="0" xfId="0" applyFont="1" applyAlignment="1">
      <alignment vertical="center" wrapText="1"/>
    </xf>
    <xf numFmtId="0" fontId="58" fillId="0" borderId="0" xfId="0" applyFont="1" applyAlignment="1">
      <alignment vertical="center" wrapText="1"/>
    </xf>
    <xf numFmtId="0" fontId="52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/>
    </xf>
    <xf numFmtId="0" fontId="62" fillId="0" borderId="0" xfId="0" applyFont="1"/>
    <xf numFmtId="0" fontId="62" fillId="0" borderId="0" xfId="0" quotePrefix="1" applyFont="1" applyAlignment="1">
      <alignment horizontal="left" vertical="top"/>
    </xf>
    <xf numFmtId="0" fontId="49" fillId="0" borderId="3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50" fillId="0" borderId="23" xfId="0" applyFont="1" applyBorder="1" applyAlignment="1">
      <alignment horizontal="center" vertical="center" wrapText="1"/>
    </xf>
    <xf numFmtId="0" fontId="55" fillId="0" borderId="0" xfId="0" applyFont="1" applyAlignment="1">
      <alignment vertical="top" wrapText="1"/>
    </xf>
    <xf numFmtId="0" fontId="55" fillId="0" borderId="20" xfId="0" applyFont="1" applyBorder="1" applyAlignment="1">
      <alignment vertical="top" wrapText="1"/>
    </xf>
    <xf numFmtId="0" fontId="55" fillId="0" borderId="0" xfId="0" applyFont="1" applyAlignment="1">
      <alignment horizontal="left" vertical="top"/>
    </xf>
    <xf numFmtId="0" fontId="55" fillId="0" borderId="0" xfId="0" applyFont="1" applyAlignment="1">
      <alignment vertical="top"/>
    </xf>
    <xf numFmtId="0" fontId="51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2" fillId="9" borderId="17" xfId="7"/>
    <xf numFmtId="0" fontId="63" fillId="0" borderId="0" xfId="0" applyFont="1"/>
    <xf numFmtId="0" fontId="44" fillId="11" borderId="16" xfId="9" applyBorder="1"/>
    <xf numFmtId="0" fontId="44" fillId="11" borderId="17" xfId="9" applyBorder="1"/>
    <xf numFmtId="0" fontId="44" fillId="11" borderId="0" xfId="9"/>
    <xf numFmtId="0" fontId="44" fillId="11" borderId="0" xfId="9" applyAlignment="1">
      <alignment horizontal="left" vertical="center" wrapText="1"/>
    </xf>
    <xf numFmtId="167" fontId="44" fillId="11" borderId="0" xfId="9" applyNumberFormat="1"/>
    <xf numFmtId="164" fontId="44" fillId="11" borderId="0" xfId="9" applyNumberFormat="1"/>
    <xf numFmtId="168" fontId="44" fillId="11" borderId="0" xfId="9" applyNumberFormat="1" applyAlignment="1">
      <alignment vertical="center" wrapText="1"/>
    </xf>
    <xf numFmtId="0" fontId="43" fillId="10" borderId="18" xfId="8"/>
    <xf numFmtId="0" fontId="64" fillId="11" borderId="0" xfId="9" applyFont="1" applyAlignment="1"/>
    <xf numFmtId="0" fontId="65" fillId="0" borderId="0" xfId="0" applyFont="1"/>
    <xf numFmtId="0" fontId="44" fillId="12" borderId="0" xfId="10" applyAlignment="1"/>
    <xf numFmtId="168" fontId="0" fillId="0" borderId="0" xfId="0" applyNumberFormat="1"/>
    <xf numFmtId="168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2" fontId="1" fillId="14" borderId="0" xfId="0" applyNumberFormat="1" applyFont="1" applyFill="1"/>
    <xf numFmtId="0" fontId="66" fillId="0" borderId="0" xfId="0" applyFont="1"/>
    <xf numFmtId="164" fontId="62" fillId="0" borderId="0" xfId="0" applyNumberFormat="1" applyFont="1"/>
    <xf numFmtId="0" fontId="61" fillId="0" borderId="0" xfId="0" applyFont="1"/>
    <xf numFmtId="0" fontId="67" fillId="9" borderId="17" xfId="7" applyFont="1"/>
    <xf numFmtId="0" fontId="54" fillId="0" borderId="0" xfId="0" applyFont="1"/>
    <xf numFmtId="0" fontId="60" fillId="0" borderId="0" xfId="0" applyFont="1" applyAlignment="1">
      <alignment wrapText="1"/>
    </xf>
    <xf numFmtId="0" fontId="61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0" fontId="54" fillId="0" borderId="0" xfId="0" applyFont="1" applyAlignment="1">
      <alignment wrapText="1"/>
    </xf>
    <xf numFmtId="168" fontId="68" fillId="11" borderId="0" xfId="9" applyNumberFormat="1" applyFont="1"/>
    <xf numFmtId="165" fontId="62" fillId="0" borderId="0" xfId="0" applyNumberFormat="1" applyFont="1"/>
    <xf numFmtId="168" fontId="62" fillId="0" borderId="0" xfId="0" applyNumberFormat="1" applyFont="1"/>
    <xf numFmtId="0" fontId="66" fillId="0" borderId="0" xfId="0" applyFont="1" applyAlignment="1">
      <alignment horizontal="left" vertical="top"/>
    </xf>
    <xf numFmtId="0" fontId="69" fillId="0" borderId="0" xfId="0" applyFont="1" applyAlignment="1">
      <alignment horizontal="left" vertical="top"/>
    </xf>
    <xf numFmtId="0" fontId="70" fillId="0" borderId="0" xfId="0" applyFont="1" applyAlignment="1">
      <alignment horizontal="left" vertical="top"/>
    </xf>
    <xf numFmtId="0" fontId="44" fillId="16" borderId="0" xfId="9" applyFill="1"/>
    <xf numFmtId="0" fontId="44" fillId="16" borderId="0" xfId="10" applyFill="1" applyAlignment="1"/>
    <xf numFmtId="0" fontId="0" fillId="17" borderId="0" xfId="0" applyFill="1"/>
    <xf numFmtId="0" fontId="1" fillId="17" borderId="0" xfId="0" applyFont="1" applyFill="1"/>
    <xf numFmtId="0" fontId="71" fillId="17" borderId="26" xfId="0" applyFont="1" applyFill="1" applyBorder="1"/>
    <xf numFmtId="0" fontId="0" fillId="17" borderId="27" xfId="0" applyFill="1" applyBorder="1"/>
    <xf numFmtId="0" fontId="0" fillId="17" borderId="29" xfId="0" applyFill="1" applyBorder="1"/>
    <xf numFmtId="0" fontId="1" fillId="17" borderId="30" xfId="0" applyFont="1" applyFill="1" applyBorder="1"/>
    <xf numFmtId="0" fontId="35" fillId="17" borderId="0" xfId="0" applyFont="1" applyFill="1"/>
    <xf numFmtId="0" fontId="0" fillId="17" borderId="30" xfId="0" applyFill="1" applyBorder="1"/>
    <xf numFmtId="0" fontId="0" fillId="17" borderId="31" xfId="0" applyFill="1" applyBorder="1"/>
    <xf numFmtId="0" fontId="0" fillId="17" borderId="32" xfId="0" applyFill="1" applyBorder="1"/>
    <xf numFmtId="0" fontId="0" fillId="17" borderId="33" xfId="0" applyFill="1" applyBorder="1"/>
    <xf numFmtId="0" fontId="47" fillId="17" borderId="27" xfId="0" applyFont="1" applyFill="1" applyBorder="1" applyAlignment="1">
      <alignment horizontal="right"/>
    </xf>
    <xf numFmtId="0" fontId="47" fillId="17" borderId="0" xfId="0" applyFont="1" applyFill="1" applyAlignment="1">
      <alignment horizontal="right"/>
    </xf>
    <xf numFmtId="165" fontId="43" fillId="10" borderId="18" xfId="8" applyNumberFormat="1"/>
    <xf numFmtId="2" fontId="21" fillId="0" borderId="0" xfId="0" applyNumberFormat="1" applyFont="1"/>
    <xf numFmtId="0" fontId="21" fillId="0" borderId="0" xfId="0" applyFont="1"/>
    <xf numFmtId="0" fontId="21" fillId="17" borderId="0" xfId="0" applyFont="1" applyFill="1"/>
    <xf numFmtId="0" fontId="41" fillId="0" borderId="14" xfId="5" applyAlignment="1">
      <alignment horizontal="center"/>
    </xf>
    <xf numFmtId="166" fontId="41" fillId="0" borderId="14" xfId="5" applyNumberFormat="1"/>
    <xf numFmtId="0" fontId="40" fillId="0" borderId="14" xfId="4" applyBorder="1" applyAlignment="1">
      <alignment horizontal="center"/>
    </xf>
    <xf numFmtId="166" fontId="40" fillId="0" borderId="14" xfId="4" applyNumberFormat="1" applyBorder="1"/>
    <xf numFmtId="2" fontId="39" fillId="0" borderId="15" xfId="6" applyNumberFormat="1" applyFont="1"/>
    <xf numFmtId="0" fontId="41" fillId="0" borderId="14" xfId="5"/>
    <xf numFmtId="0" fontId="1" fillId="17" borderId="27" xfId="0" applyFont="1" applyFill="1" applyBorder="1"/>
    <xf numFmtId="0" fontId="1" fillId="17" borderId="28" xfId="0" applyFont="1" applyFill="1" applyBorder="1"/>
    <xf numFmtId="0" fontId="40" fillId="0" borderId="0" xfId="4" applyBorder="1" applyAlignment="1">
      <alignment horizontal="center"/>
    </xf>
    <xf numFmtId="166" fontId="40" fillId="0" borderId="0" xfId="4" applyNumberFormat="1" applyBorder="1"/>
    <xf numFmtId="0" fontId="43" fillId="6" borderId="18" xfId="8" applyFill="1"/>
    <xf numFmtId="2" fontId="72" fillId="0" borderId="0" xfId="0" applyNumberFormat="1" applyFont="1"/>
    <xf numFmtId="2" fontId="41" fillId="0" borderId="14" xfId="5" applyNumberFormat="1" applyFill="1"/>
    <xf numFmtId="165" fontId="41" fillId="0" borderId="14" xfId="5" applyNumberFormat="1" applyFill="1"/>
    <xf numFmtId="10" fontId="41" fillId="0" borderId="14" xfId="5" applyNumberFormat="1" applyFill="1"/>
    <xf numFmtId="169" fontId="40" fillId="0" borderId="14" xfId="3" applyNumberFormat="1" applyFont="1" applyBorder="1"/>
    <xf numFmtId="0" fontId="52" fillId="18" borderId="0" xfId="0" applyFont="1" applyFill="1"/>
    <xf numFmtId="0" fontId="0" fillId="18" borderId="0" xfId="0" applyFill="1"/>
    <xf numFmtId="0" fontId="52" fillId="13" borderId="0" xfId="0" applyFont="1" applyFill="1"/>
    <xf numFmtId="0" fontId="0" fillId="13" borderId="0" xfId="0" applyFill="1"/>
    <xf numFmtId="0" fontId="0" fillId="19" borderId="0" xfId="0" applyFill="1"/>
    <xf numFmtId="0" fontId="44" fillId="20" borderId="0" xfId="9" applyFill="1"/>
    <xf numFmtId="0" fontId="71" fillId="19" borderId="26" xfId="0" applyFont="1" applyFill="1" applyBorder="1"/>
    <xf numFmtId="0" fontId="0" fillId="19" borderId="27" xfId="0" applyFill="1" applyBorder="1"/>
    <xf numFmtId="0" fontId="0" fillId="19" borderId="29" xfId="0" applyFill="1" applyBorder="1"/>
    <xf numFmtId="0" fontId="1" fillId="19" borderId="0" xfId="0" applyFont="1" applyFill="1"/>
    <xf numFmtId="0" fontId="35" fillId="19" borderId="0" xfId="0" applyFont="1" applyFill="1"/>
    <xf numFmtId="0" fontId="0" fillId="19" borderId="30" xfId="0" applyFill="1" applyBorder="1"/>
    <xf numFmtId="0" fontId="0" fillId="19" borderId="31" xfId="0" applyFill="1" applyBorder="1"/>
    <xf numFmtId="0" fontId="0" fillId="19" borderId="32" xfId="0" applyFill="1" applyBorder="1"/>
    <xf numFmtId="0" fontId="0" fillId="19" borderId="33" xfId="0" applyFill="1" applyBorder="1"/>
    <xf numFmtId="0" fontId="1" fillId="19" borderId="27" xfId="0" applyFont="1" applyFill="1" applyBorder="1"/>
    <xf numFmtId="0" fontId="1" fillId="19" borderId="28" xfId="0" applyFont="1" applyFill="1" applyBorder="1"/>
    <xf numFmtId="0" fontId="32" fillId="0" borderId="0" xfId="0" applyFont="1" applyAlignment="1">
      <alignment horizontal="left" vertical="top"/>
    </xf>
    <xf numFmtId="0" fontId="41" fillId="0" borderId="0" xfId="5" applyBorder="1"/>
    <xf numFmtId="166" fontId="41" fillId="0" borderId="0" xfId="5" applyNumberFormat="1" applyBorder="1"/>
    <xf numFmtId="0" fontId="73" fillId="0" borderId="35" xfId="4" applyFont="1" applyBorder="1" applyAlignment="1">
      <alignment horizontal="center"/>
    </xf>
    <xf numFmtId="166" fontId="73" fillId="0" borderId="35" xfId="4" applyNumberFormat="1" applyFont="1" applyBorder="1"/>
    <xf numFmtId="0" fontId="73" fillId="0" borderId="34" xfId="4" applyFont="1" applyBorder="1" applyAlignment="1">
      <alignment horizontal="center"/>
    </xf>
    <xf numFmtId="166" fontId="73" fillId="0" borderId="34" xfId="4" applyNumberFormat="1" applyFont="1" applyBorder="1"/>
    <xf numFmtId="166" fontId="40" fillId="0" borderId="34" xfId="4" applyNumberFormat="1" applyBorder="1"/>
    <xf numFmtId="166" fontId="41" fillId="0" borderId="35" xfId="5" applyNumberFormat="1" applyBorder="1"/>
    <xf numFmtId="0" fontId="32" fillId="0" borderId="37" xfId="0" applyFont="1" applyBorder="1" applyAlignment="1">
      <alignment horizontal="left" vertical="top"/>
    </xf>
    <xf numFmtId="0" fontId="21" fillId="0" borderId="38" xfId="0" applyFont="1" applyBorder="1"/>
    <xf numFmtId="0" fontId="32" fillId="0" borderId="39" xfId="0" applyFont="1" applyBorder="1" applyAlignment="1">
      <alignment horizontal="left" vertical="top"/>
    </xf>
    <xf numFmtId="0" fontId="35" fillId="0" borderId="40" xfId="0" applyFont="1" applyBorder="1" applyAlignment="1">
      <alignment horizontal="left" vertical="top"/>
    </xf>
    <xf numFmtId="0" fontId="46" fillId="0" borderId="40" xfId="0" applyFont="1" applyBorder="1" applyAlignment="1">
      <alignment horizontal="left" vertical="top"/>
    </xf>
    <xf numFmtId="0" fontId="0" fillId="0" borderId="40" xfId="0" quotePrefix="1" applyBorder="1" applyAlignment="1">
      <alignment horizontal="left" vertical="top"/>
    </xf>
    <xf numFmtId="0" fontId="0" fillId="0" borderId="40" xfId="0" applyBorder="1"/>
    <xf numFmtId="0" fontId="36" fillId="0" borderId="40" xfId="0" applyFont="1" applyBorder="1" applyAlignment="1">
      <alignment horizontal="left" vertical="top"/>
    </xf>
    <xf numFmtId="0" fontId="21" fillId="0" borderId="41" xfId="0" applyFont="1" applyBorder="1"/>
    <xf numFmtId="0" fontId="32" fillId="0" borderId="42" xfId="0" applyFont="1" applyBorder="1" applyAlignment="1">
      <alignment horizontal="left" vertical="top"/>
    </xf>
    <xf numFmtId="0" fontId="35" fillId="0" borderId="43" xfId="0" applyFont="1" applyBorder="1" applyAlignment="1">
      <alignment horizontal="left" vertical="top"/>
    </xf>
    <xf numFmtId="0" fontId="46" fillId="0" borderId="43" xfId="0" applyFont="1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3" xfId="0" applyBorder="1"/>
    <xf numFmtId="0" fontId="36" fillId="0" borderId="43" xfId="0" applyFont="1" applyBorder="1" applyAlignment="1">
      <alignment horizontal="left" vertical="top"/>
    </xf>
    <xf numFmtId="0" fontId="21" fillId="0" borderId="44" xfId="0" applyFont="1" applyBorder="1"/>
    <xf numFmtId="0" fontId="11" fillId="0" borderId="45" xfId="0" applyFont="1" applyBorder="1" applyAlignment="1">
      <alignment horizontal="left" vertical="center" readingOrder="1"/>
    </xf>
    <xf numFmtId="0" fontId="35" fillId="0" borderId="46" xfId="0" applyFont="1" applyBorder="1" applyAlignment="1">
      <alignment horizontal="left" vertical="top"/>
    </xf>
    <xf numFmtId="0" fontId="46" fillId="0" borderId="46" xfId="0" applyFont="1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46" xfId="0" applyBorder="1"/>
    <xf numFmtId="0" fontId="36" fillId="0" borderId="46" xfId="0" applyFont="1" applyBorder="1" applyAlignment="1">
      <alignment horizontal="left" vertical="top"/>
    </xf>
    <xf numFmtId="0" fontId="21" fillId="0" borderId="47" xfId="0" applyFont="1" applyBorder="1"/>
    <xf numFmtId="0" fontId="13" fillId="0" borderId="48" xfId="0" applyFont="1" applyBorder="1" applyAlignment="1">
      <alignment horizontal="left" vertical="center" indent="1" readingOrder="1"/>
    </xf>
    <xf numFmtId="0" fontId="11" fillId="0" borderId="48" xfId="0" applyFont="1" applyBorder="1" applyAlignment="1">
      <alignment horizontal="left" vertical="center" readingOrder="1"/>
    </xf>
    <xf numFmtId="0" fontId="13" fillId="0" borderId="49" xfId="0" applyFont="1" applyBorder="1"/>
    <xf numFmtId="0" fontId="35" fillId="0" borderId="50" xfId="0" applyFont="1" applyBorder="1" applyAlignment="1">
      <alignment horizontal="left" vertical="top"/>
    </xf>
    <xf numFmtId="0" fontId="46" fillId="0" borderId="50" xfId="0" applyFont="1" applyBorder="1" applyAlignment="1">
      <alignment horizontal="left" vertical="top"/>
    </xf>
    <xf numFmtId="0" fontId="0" fillId="0" borderId="50" xfId="0" quotePrefix="1" applyBorder="1" applyAlignment="1">
      <alignment horizontal="left" vertical="top"/>
    </xf>
    <xf numFmtId="0" fontId="0" fillId="0" borderId="50" xfId="0" applyBorder="1"/>
    <xf numFmtId="0" fontId="36" fillId="0" borderId="50" xfId="0" applyFont="1" applyBorder="1" applyAlignment="1">
      <alignment horizontal="left" vertical="top"/>
    </xf>
    <xf numFmtId="0" fontId="21" fillId="0" borderId="51" xfId="0" applyFont="1" applyBorder="1"/>
    <xf numFmtId="0" fontId="0" fillId="19" borderId="26" xfId="0" applyFill="1" applyBorder="1"/>
    <xf numFmtId="0" fontId="47" fillId="19" borderId="27" xfId="0" applyFont="1" applyFill="1" applyBorder="1" applyAlignment="1">
      <alignment horizontal="right"/>
    </xf>
    <xf numFmtId="0" fontId="71" fillId="19" borderId="29" xfId="0" applyFont="1" applyFill="1" applyBorder="1"/>
    <xf numFmtId="0" fontId="1" fillId="19" borderId="30" xfId="0" applyFont="1" applyFill="1" applyBorder="1"/>
    <xf numFmtId="0" fontId="44" fillId="20" borderId="0" xfId="10" applyFill="1" applyAlignment="1"/>
    <xf numFmtId="0" fontId="47" fillId="19" borderId="0" xfId="0" applyFont="1" applyFill="1" applyAlignment="1">
      <alignment horizontal="right"/>
    </xf>
    <xf numFmtId="0" fontId="74" fillId="19" borderId="29" xfId="0" applyFont="1" applyFill="1" applyBorder="1"/>
    <xf numFmtId="0" fontId="0" fillId="19" borderId="28" xfId="0" applyFill="1" applyBorder="1"/>
    <xf numFmtId="0" fontId="0" fillId="15" borderId="53" xfId="0" applyFill="1" applyBorder="1"/>
    <xf numFmtId="0" fontId="0" fillId="15" borderId="54" xfId="0" applyFill="1" applyBorder="1"/>
    <xf numFmtId="0" fontId="0" fillId="15" borderId="55" xfId="0" applyFill="1" applyBorder="1"/>
    <xf numFmtId="0" fontId="75" fillId="21" borderId="0" xfId="0" applyFont="1" applyFill="1"/>
    <xf numFmtId="0" fontId="76" fillId="21" borderId="0" xfId="0" applyFont="1" applyFill="1"/>
    <xf numFmtId="0" fontId="76" fillId="21" borderId="0" xfId="0" applyFont="1" applyFill="1" applyAlignment="1">
      <alignment horizontal="center"/>
    </xf>
    <xf numFmtId="0" fontId="44" fillId="20" borderId="16" xfId="9" applyFill="1" applyBorder="1"/>
    <xf numFmtId="0" fontId="44" fillId="21" borderId="0" xfId="9" applyFill="1"/>
    <xf numFmtId="0" fontId="0" fillId="15" borderId="0" xfId="0" applyFill="1"/>
    <xf numFmtId="0" fontId="0" fillId="0" borderId="0" xfId="0" applyProtection="1">
      <protection locked="0"/>
    </xf>
    <xf numFmtId="0" fontId="42" fillId="9" borderId="17" xfId="7" applyProtection="1">
      <protection locked="0"/>
    </xf>
    <xf numFmtId="0" fontId="43" fillId="10" borderId="36" xfId="8" applyBorder="1" applyProtection="1">
      <protection locked="0"/>
    </xf>
    <xf numFmtId="0" fontId="43" fillId="10" borderId="52" xfId="8" applyBorder="1" applyProtection="1">
      <protection locked="0"/>
    </xf>
    <xf numFmtId="0" fontId="21" fillId="0" borderId="0" xfId="0" applyFont="1" applyProtection="1">
      <protection locked="0"/>
    </xf>
    <xf numFmtId="0" fontId="77" fillId="0" borderId="0" xfId="0" applyFont="1"/>
    <xf numFmtId="0" fontId="78" fillId="0" borderId="0" xfId="0" applyFont="1" applyAlignment="1">
      <alignment vertical="center" wrapText="1"/>
    </xf>
    <xf numFmtId="0" fontId="79" fillId="3" borderId="0" xfId="0" applyFont="1" applyFill="1"/>
    <xf numFmtId="0" fontId="49" fillId="0" borderId="3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0" fillId="19" borderId="27" xfId="0" applyFill="1" applyBorder="1" applyAlignment="1">
      <alignment horizontal="center"/>
    </xf>
    <xf numFmtId="0" fontId="0" fillId="19" borderId="28" xfId="0" applyFill="1" applyBorder="1" applyAlignment="1">
      <alignment horizontal="center"/>
    </xf>
    <xf numFmtId="0" fontId="76" fillId="21" borderId="0" xfId="0" applyFont="1" applyFill="1" applyAlignment="1">
      <alignment horizontal="center"/>
    </xf>
    <xf numFmtId="0" fontId="0" fillId="17" borderId="27" xfId="0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0" fontId="62" fillId="0" borderId="0" xfId="0" applyFont="1" applyAlignment="1">
      <alignment horizontal="right" vertical="center" wrapText="1"/>
    </xf>
    <xf numFmtId="0" fontId="0" fillId="0" borderId="0" xfId="0" applyBorder="1" applyAlignment="1">
      <alignment horizontal="left" vertical="top"/>
    </xf>
  </cellXfs>
  <cellStyles count="11">
    <cellStyle name="Accent1" xfId="9" builtinId="29"/>
    <cellStyle name="Accent4" xfId="10" builtinId="41"/>
    <cellStyle name="Check Cell" xfId="8" builtinId="23"/>
    <cellStyle name="Comma" xfId="2" builtinId="3"/>
    <cellStyle name="Heading 2" xfId="5" builtinId="17"/>
    <cellStyle name="Heading 3" xfId="6" builtinId="18"/>
    <cellStyle name="Normal" xfId="0" builtinId="0"/>
    <cellStyle name="Normal_Sheet3" xfId="1" xr:uid="{526E4716-7526-4CC7-9561-6786AA2D8505}"/>
    <cellStyle name="Output" xfId="7" builtinId="21"/>
    <cellStyle name="Percent" xfId="3" builtinId="5"/>
    <cellStyle name="Title" xfId="4" builtinId="15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180974</xdr:colOff>
      <xdr:row>41</xdr:row>
      <xdr:rowOff>95250</xdr:rowOff>
    </xdr:from>
    <xdr:ext cx="3495675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5DBE6FB-8C6B-4B75-9A6E-88F574906ADE}"/>
                </a:ext>
              </a:extLst>
            </xdr:cNvPr>
            <xdr:cNvSpPr txBox="1"/>
          </xdr:nvSpPr>
          <xdr:spPr>
            <a:xfrm>
              <a:off x="2238374" y="7877175"/>
              <a:ext cx="34956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𝑆𝐸</m:t>
                    </m:r>
                    <m:sSub>
                      <m:sSub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𝐺</m:t>
                        </m:r>
                      </m:e>
                      <m:sub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𝐶𝐸𝑁𝑇</m:t>
                        </m:r>
                      </m:sub>
                    </m:sSub>
                    <m:r>
                      <a:rPr lang="en-US" sz="20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𝑎𝑟𝑔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𝑚𝑖𝑛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 (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ₖ)   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5DBE6FB-8C6B-4B75-9A6E-88F574906ADE}"/>
                </a:ext>
              </a:extLst>
            </xdr:cNvPr>
            <xdr:cNvSpPr txBox="1"/>
          </xdr:nvSpPr>
          <xdr:spPr>
            <a:xfrm>
              <a:off x="2238374" y="7877175"/>
              <a:ext cx="34956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000" i="0">
                  <a:latin typeface="Cambria Math" panose="02040503050406030204" pitchFamily="18" charset="0"/>
                </a:rPr>
                <a:t> 𝑆𝐸𝐺_𝐶𝐸𝑁𝑇=</a:t>
              </a:r>
              <a:r>
                <a:rPr lang="en-US" sz="2000" b="0" i="0">
                  <a:latin typeface="Cambria Math" panose="02040503050406030204" pitchFamily="18" charset="0"/>
                </a:rPr>
                <a:t>𝑎𝑟𝑔</a:t>
              </a:r>
              <a:r>
                <a:rPr lang="en-US" sz="2000" i="0">
                  <a:latin typeface="Cambria Math" panose="02040503050406030204" pitchFamily="18" charset="0"/>
                </a:rPr>
                <a:t>𝑚𝑖𝑛ₖ (𝐷ₖ)   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3</xdr:col>
      <xdr:colOff>590550</xdr:colOff>
      <xdr:row>81</xdr:row>
      <xdr:rowOff>142875</xdr:rowOff>
    </xdr:from>
    <xdr:ext cx="3495675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67B9FC9-D695-4C61-8E73-954612224148}"/>
                </a:ext>
              </a:extLst>
            </xdr:cNvPr>
            <xdr:cNvSpPr txBox="1"/>
          </xdr:nvSpPr>
          <xdr:spPr>
            <a:xfrm>
              <a:off x="2647950" y="15440025"/>
              <a:ext cx="34956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ₖ=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𝑒𝑥𝑝</m:t>
                    </m:r>
                    <m:d>
                      <m:d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l-GR" sz="2000" i="1">
                            <a:latin typeface="Cambria Math" panose="02040503050406030204" pitchFamily="18" charset="0"/>
                          </a:rPr>
                          <m:t>𝜂</m:t>
                        </m:r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ₖ</m:t>
                        </m:r>
                      </m:e>
                    </m:d>
                    <m:r>
                      <m:rPr>
                        <m:lit/>
                      </m:rPr>
                      <a:rPr lang="en-US" sz="2000" i="1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l-G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2000" i="1">
                            <a:latin typeface="Cambria Math" panose="02040503050406030204" pitchFamily="18" charset="0"/>
                          </a:rPr>
                          <m:t>𝛴</m:t>
                        </m:r>
                      </m:e>
                      <m:sub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2000" i="1">
                        <a:latin typeface="Cambria Math" panose="02040503050406030204" pitchFamily="18" charset="0"/>
                      </a:rPr>
                      <m:t>𝑒𝑥𝑝</m:t>
                    </m:r>
                    <m:d>
                      <m:d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l-GR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l-GR" sz="2000" i="1">
                                <a:latin typeface="Cambria Math" panose="02040503050406030204" pitchFamily="18" charset="0"/>
                              </a:rPr>
                              <m:t>𝜂</m:t>
                            </m:r>
                          </m:e>
                          <m:sub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67B9FC9-D695-4C61-8E73-954612224148}"/>
                </a:ext>
              </a:extLst>
            </xdr:cNvPr>
            <xdr:cNvSpPr txBox="1"/>
          </xdr:nvSpPr>
          <xdr:spPr>
            <a:xfrm>
              <a:off x="2647950" y="15440025"/>
              <a:ext cx="34956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000" i="0">
                  <a:latin typeface="Cambria Math" panose="02040503050406030204" pitchFamily="18" charset="0"/>
                </a:rPr>
                <a:t>𝑃ₖ=𝑒𝑥𝑝(</a:t>
              </a:r>
              <a:r>
                <a:rPr lang="el-GR" sz="2000" i="0">
                  <a:latin typeface="Cambria Math" panose="02040503050406030204" pitchFamily="18" charset="0"/>
                </a:rPr>
                <a:t>𝜂</a:t>
              </a:r>
              <a:r>
                <a:rPr lang="en-US" sz="2000" i="0">
                  <a:latin typeface="Cambria Math" panose="02040503050406030204" pitchFamily="18" charset="0"/>
                </a:rPr>
                <a:t>ₖ)\/</a:t>
              </a:r>
              <a:r>
                <a:rPr lang="el-GR" sz="2000" i="0">
                  <a:latin typeface="Cambria Math" panose="02040503050406030204" pitchFamily="18" charset="0"/>
                </a:rPr>
                <a:t>𝛴_</a:t>
              </a:r>
              <a:r>
                <a:rPr lang="en-US" sz="2000" i="0">
                  <a:latin typeface="Cambria Math" panose="02040503050406030204" pitchFamily="18" charset="0"/>
                </a:rPr>
                <a:t>ℎ 𝑒𝑥𝑝(</a:t>
              </a:r>
              <a:r>
                <a:rPr lang="el-GR" sz="2000" i="0">
                  <a:latin typeface="Cambria Math" panose="02040503050406030204" pitchFamily="18" charset="0"/>
                </a:rPr>
                <a:t>𝜂_</a:t>
              </a:r>
              <a:r>
                <a:rPr lang="en-US" sz="2000" i="0">
                  <a:latin typeface="Cambria Math" panose="02040503050406030204" pitchFamily="18" charset="0"/>
                </a:rPr>
                <a:t>ℎ 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2</xdr:col>
      <xdr:colOff>304800</xdr:colOff>
      <xdr:row>84</xdr:row>
      <xdr:rowOff>123825</xdr:rowOff>
    </xdr:from>
    <xdr:ext cx="4105275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7ADB11B-664D-44EE-9B66-C630A2516015}"/>
                </a:ext>
              </a:extLst>
            </xdr:cNvPr>
            <xdr:cNvSpPr txBox="1"/>
          </xdr:nvSpPr>
          <xdr:spPr>
            <a:xfrm>
              <a:off x="1676400" y="15963900"/>
              <a:ext cx="41052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𝑆𝐸𝐺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𝑅𝐸𝐺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 =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𝑎𝑟𝑔𝑚𝑎𝑥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     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7ADB11B-664D-44EE-9B66-C630A2516015}"/>
                </a:ext>
              </a:extLst>
            </xdr:cNvPr>
            <xdr:cNvSpPr txBox="1"/>
          </xdr:nvSpPr>
          <xdr:spPr>
            <a:xfrm>
              <a:off x="1676400" y="15963900"/>
              <a:ext cx="41052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000" i="0">
                  <a:latin typeface="Cambria Math" panose="02040503050406030204" pitchFamily="18" charset="0"/>
                </a:rPr>
                <a:t> 𝑆𝐸𝐺_𝑅𝐸𝐺 = 𝑎𝑟𝑔𝑚𝑎𝑥ₖ 𝑃ₖ     </a:t>
              </a:r>
              <a:endParaRPr lang="en-US" sz="2000"/>
            </a:p>
          </xdr:txBody>
        </xdr:sp>
      </mc:Fallback>
    </mc:AlternateContent>
    <xdr:clientData/>
  </xdr:oneCellAnchor>
  <xdr:twoCellAnchor>
    <xdr:from>
      <xdr:col>3</xdr:col>
      <xdr:colOff>66675</xdr:colOff>
      <xdr:row>87</xdr:row>
      <xdr:rowOff>66675</xdr:rowOff>
    </xdr:from>
    <xdr:to>
      <xdr:col>3</xdr:col>
      <xdr:colOff>419100</xdr:colOff>
      <xdr:row>90</xdr:row>
      <xdr:rowOff>19050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D866A75C-75EE-4F7F-934E-944FFED9814B}"/>
            </a:ext>
          </a:extLst>
        </xdr:cNvPr>
        <xdr:cNvSpPr/>
      </xdr:nvSpPr>
      <xdr:spPr>
        <a:xfrm>
          <a:off x="2124075" y="16449675"/>
          <a:ext cx="352425" cy="495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247650</xdr:colOff>
      <xdr:row>38</xdr:row>
      <xdr:rowOff>0</xdr:rowOff>
    </xdr:from>
    <xdr:ext cx="2324100" cy="4190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3A0E292-FA72-43AF-A661-2856E12D2938}"/>
                </a:ext>
              </a:extLst>
            </xdr:cNvPr>
            <xdr:cNvSpPr txBox="1"/>
          </xdr:nvSpPr>
          <xdr:spPr>
            <a:xfrm>
              <a:off x="2305050" y="7210425"/>
              <a:ext cx="2324100" cy="419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ₖ=</m:t>
                    </m:r>
                    <m:sSub>
                      <m:sSubPr>
                        <m:ctrlPr>
                          <a:rPr lang="el-G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2000" i="1">
                            <a:latin typeface="Cambria Math" panose="02040503050406030204" pitchFamily="18" charset="0"/>
                          </a:rPr>
                          <m:t>𝛴</m:t>
                        </m:r>
                      </m:e>
                      <m:sub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sSup>
                      <m:sSup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kumimoji="0" lang="en-US" sz="20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z</m:t>
                            </m:r>
                            <m:sSub>
                              <m:sSubPr>
                                <m:ctrl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BW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j</m:t>
                                </m:r>
                              </m:sub>
                            </m:sSub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–</m:t>
                            </m:r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ₖ</m:t>
                            </m:r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ⱼ</m:t>
                            </m:r>
                          </m:e>
                        </m:d>
                      </m:e>
                      <m:sup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3A0E292-FA72-43AF-A661-2856E12D2938}"/>
                </a:ext>
              </a:extLst>
            </xdr:cNvPr>
            <xdr:cNvSpPr txBox="1"/>
          </xdr:nvSpPr>
          <xdr:spPr>
            <a:xfrm>
              <a:off x="2305050" y="7210425"/>
              <a:ext cx="2324100" cy="419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000" i="0">
                  <a:latin typeface="Cambria Math" panose="02040503050406030204" pitchFamily="18" charset="0"/>
                </a:rPr>
                <a:t>𝐷ₖ=</a:t>
              </a:r>
              <a:r>
                <a:rPr lang="el-GR" sz="2000" i="0">
                  <a:latin typeface="Cambria Math" panose="02040503050406030204" pitchFamily="18" charset="0"/>
                </a:rPr>
                <a:t>𝛴_</a:t>
              </a:r>
              <a:r>
                <a:rPr lang="en-US" sz="2000" i="0">
                  <a:latin typeface="Cambria Math" panose="02040503050406030204" pitchFamily="18" charset="0"/>
                </a:rPr>
                <a:t>𝑗 (</a:t>
              </a:r>
              <a:r>
                <a:rPr kumimoji="0" lang="en-US" sz="20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zBW_j</a:t>
              </a:r>
              <a:r>
                <a:rPr lang="en-US" sz="2000" i="0">
                  <a:latin typeface="Cambria Math" panose="02040503050406030204" pitchFamily="18" charset="0"/>
                </a:rPr>
                <a:t>–𝐶ₖⱼ)^2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5</xdr:col>
      <xdr:colOff>182335</xdr:colOff>
      <xdr:row>14</xdr:row>
      <xdr:rowOff>39460</xdr:rowOff>
    </xdr:from>
    <xdr:ext cx="2960915" cy="9266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238103-579D-4F88-9DCE-A2AB3A170495}"/>
                </a:ext>
              </a:extLst>
            </xdr:cNvPr>
            <xdr:cNvSpPr txBox="1"/>
          </xdr:nvSpPr>
          <xdr:spPr>
            <a:xfrm>
              <a:off x="3611335" y="2725510"/>
              <a:ext cx="2960915" cy="926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2000" b="0" i="1">
                        <a:latin typeface="Cambria Math" panose="02040503050406030204" pitchFamily="18" charset="0"/>
                      </a:rPr>
                      <m:t>z</m:t>
                    </m:r>
                    <m:sSub>
                      <m:sSub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2000" b="0" i="1">
                            <a:latin typeface="Cambria Math" panose="02040503050406030204" pitchFamily="18" charset="0"/>
                          </a:rPr>
                          <m:t>BW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2000" b="0" i="1"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</m:sSub>
                    <m:r>
                      <a:rPr lang="en-US" sz="20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BW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238103-579D-4F88-9DCE-A2AB3A170495}"/>
                </a:ext>
              </a:extLst>
            </xdr:cNvPr>
            <xdr:cNvSpPr txBox="1"/>
          </xdr:nvSpPr>
          <xdr:spPr>
            <a:xfrm>
              <a:off x="3611335" y="2725510"/>
              <a:ext cx="2960915" cy="926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zBW_j</a:t>
              </a:r>
              <a:r>
                <a:rPr lang="en-US" sz="2000" i="0">
                  <a:latin typeface="Cambria Math" panose="02040503050406030204" pitchFamily="18" charset="0"/>
                </a:rPr>
                <a:t>=(</a:t>
              </a:r>
              <a:r>
                <a:rPr lang="en-US" sz="2000" b="0" i="0">
                  <a:latin typeface="Cambria Math" panose="02040503050406030204" pitchFamily="18" charset="0"/>
                </a:rPr>
                <a:t>BW_j  − 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2000" b="0" i="0">
                  <a:latin typeface="Cambria Math" panose="02040503050406030204" pitchFamily="18" charset="0"/>
                </a:rPr>
                <a:t>j)/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sz="2000" b="0" i="0">
                  <a:latin typeface="Cambria Math" panose="02040503050406030204" pitchFamily="18" charset="0"/>
                </a:rPr>
                <a:t>j 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5</xdr:col>
      <xdr:colOff>653141</xdr:colOff>
      <xdr:row>3</xdr:row>
      <xdr:rowOff>13607</xdr:rowOff>
    </xdr:from>
    <xdr:ext cx="4231821" cy="7361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784CDA-B198-486E-A683-56F17578A7F9}"/>
                </a:ext>
                <a:ext uri="{147F2762-F138-4A5C-976F-8EAC2B608ADB}">
                  <a16:predDERef xmlns:a16="http://schemas.microsoft.com/office/drawing/2014/main" pred="{3A238103-579D-4F88-9DCE-A2AB3A170495}"/>
                </a:ext>
              </a:extLst>
            </xdr:cNvPr>
            <xdr:cNvSpPr txBox="1"/>
          </xdr:nvSpPr>
          <xdr:spPr>
            <a:xfrm>
              <a:off x="4082141" y="556532"/>
              <a:ext cx="4231821" cy="7361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indent="0"/>
              <a:r>
                <a:rPr lang="ar-AE" sz="20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﷐</a:t>
              </a:r>
              <a:r>
                <a:rPr lang="en-US" sz="20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BW</a:t>
              </a:r>
              <a:r>
                <a:rPr lang="ar-AE" sz="20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﷮</a:t>
              </a:r>
              <a:r>
                <a:rPr lang="en-US" sz="20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j</a:t>
              </a:r>
              <a:r>
                <a:rPr lang="ar-AE" sz="20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﷯​=﷐</a:t>
              </a:r>
              <a:r>
                <a:rPr lang="en-US" sz="20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tasks</a:t>
              </a:r>
              <a:r>
                <a:rPr lang="ar-AE" sz="20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﷮﷮</a:t>
              </a:r>
              <a:r>
                <a:rPr lang="ar-AE" sz="11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​﷯​{+1=</a:t>
              </a:r>
              <a:r>
                <a:rPr lang="en-US" sz="11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Best, −1=Worst, 0=Not Selected}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784CDA-B198-486E-A683-56F17578A7F9}"/>
                </a:ext>
              </a:extLst>
            </xdr:cNvPr>
            <xdr:cNvSpPr txBox="1"/>
          </xdr:nvSpPr>
          <xdr:spPr>
            <a:xfrm>
              <a:off x="4082141" y="556532"/>
              <a:ext cx="4231821" cy="7361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BW_j </a:t>
              </a:r>
              <a:r>
                <a:rPr lang="en-US" sz="2000" i="0">
                  <a:latin typeface="Cambria Math" panose="02040503050406030204" pitchFamily="18" charset="0"/>
                </a:rPr>
                <a:t>​=∑</a:t>
              </a:r>
              <a:r>
                <a:rPr lang="en-US" sz="2000" b="0" i="0">
                  <a:latin typeface="Cambria Math" panose="02040503050406030204" pitchFamily="18" charset="0"/>
                </a:rPr>
                <a:t>_tasks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​ ​{+1=Best, −1=Worst, 0=Not Selected}</a:t>
              </a:r>
              <a:endParaRPr lang="en-US" sz="2000" i="0"/>
            </a:p>
          </xdr:txBody>
        </xdr:sp>
      </mc:Fallback>
    </mc:AlternateContent>
    <xdr:clientData/>
  </xdr:oneCellAnchor>
  <xdr:oneCellAnchor>
    <xdr:from>
      <xdr:col>2</xdr:col>
      <xdr:colOff>408215</xdr:colOff>
      <xdr:row>45</xdr:row>
      <xdr:rowOff>13608</xdr:rowOff>
    </xdr:from>
    <xdr:ext cx="3646714" cy="63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51C5E0E-27B9-421D-8AAA-0AA79B3C31F6}"/>
                </a:ext>
              </a:extLst>
            </xdr:cNvPr>
            <xdr:cNvSpPr txBox="1"/>
          </xdr:nvSpPr>
          <xdr:spPr>
            <a:xfrm>
              <a:off x="1779815" y="8557533"/>
              <a:ext cx="3646714" cy="63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   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𝐷𝐼𝑆𝑇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_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𝑅𝐴𝑇𝐼𝑂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D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D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51C5E0E-27B9-421D-8AAA-0AA79B3C31F6}"/>
                </a:ext>
              </a:extLst>
            </xdr:cNvPr>
            <xdr:cNvSpPr txBox="1"/>
          </xdr:nvSpPr>
          <xdr:spPr>
            <a:xfrm>
              <a:off x="1779815" y="8557533"/>
              <a:ext cx="3646714" cy="63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2000" i="0">
                  <a:latin typeface="Cambria Math" panose="02040503050406030204" pitchFamily="18" charset="0"/>
                </a:rPr>
                <a:t>    𝐷𝐼𝑆𝑇_ 𝑅𝐴𝑇𝐼𝑂 = </a:t>
              </a:r>
              <a:r>
                <a:rPr lang="en-US" sz="2000" b="0" i="0">
                  <a:latin typeface="Cambria Math" panose="02040503050406030204" pitchFamily="18" charset="0"/>
                </a:rPr>
                <a:t> D_2/D_1 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5</xdr:col>
      <xdr:colOff>81643</xdr:colOff>
      <xdr:row>94</xdr:row>
      <xdr:rowOff>108859</xdr:rowOff>
    </xdr:from>
    <xdr:ext cx="2530928" cy="4703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A2B7D0C-C4A3-4343-B063-C4EF8686314D}"/>
                </a:ext>
              </a:extLst>
            </xdr:cNvPr>
            <xdr:cNvSpPr txBox="1"/>
          </xdr:nvSpPr>
          <xdr:spPr>
            <a:xfrm>
              <a:off x="3510643" y="17758684"/>
              <a:ext cx="2530928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24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R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k</m:t>
                        </m:r>
                      </m:sub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rank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Dk</m:t>
                    </m:r>
                  </m:oMath>
                </m:oMathPara>
              </a14:m>
              <a:endParaRPr lang="en-US" sz="1800" baseline="-250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A2B7D0C-C4A3-4343-B063-C4EF8686314D}"/>
                </a:ext>
              </a:extLst>
            </xdr:cNvPr>
            <xdr:cNvSpPr txBox="1"/>
          </xdr:nvSpPr>
          <xdr:spPr>
            <a:xfrm>
              <a:off x="3510643" y="17758684"/>
              <a:ext cx="2530928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R_k^((D)) "</a:t>
              </a:r>
              <a:r>
                <a:rPr lang="en-US" sz="2400" i="0">
                  <a:latin typeface="Cambria Math" panose="02040503050406030204" pitchFamily="18" charset="0"/>
                </a:rPr>
                <a:t>=rank of Dk"</a:t>
              </a:r>
              <a:endParaRPr lang="en-US" sz="1800" baseline="-25000"/>
            </a:p>
          </xdr:txBody>
        </xdr:sp>
      </mc:Fallback>
    </mc:AlternateContent>
    <xdr:clientData/>
  </xdr:oneCellAnchor>
  <xdr:oneCellAnchor>
    <xdr:from>
      <xdr:col>5</xdr:col>
      <xdr:colOff>16330</xdr:colOff>
      <xdr:row>97</xdr:row>
      <xdr:rowOff>111580</xdr:rowOff>
    </xdr:from>
    <xdr:ext cx="2609850" cy="4703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871D77B-F40F-476A-A071-05109EA8E904}"/>
                </a:ext>
              </a:extLst>
            </xdr:cNvPr>
            <xdr:cNvSpPr txBox="1"/>
          </xdr:nvSpPr>
          <xdr:spPr>
            <a:xfrm>
              <a:off x="3445330" y="18304330"/>
              <a:ext cx="2609850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24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R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k</m:t>
                        </m:r>
                      </m:sub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P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rank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b="0" i="0">
                        <a:latin typeface="Cambria Math" panose="02040503050406030204" pitchFamily="18" charset="0"/>
                      </a:rPr>
                      <m:t>P</m:t>
                    </m:r>
                    <m:r>
                      <m:rPr>
                        <m:nor/>
                      </m:rPr>
                      <a:rPr lang="en-US" sz="2400" i="0" baseline="-25000">
                        <a:latin typeface="Cambria Math" panose="02040503050406030204" pitchFamily="18" charset="0"/>
                      </a:rPr>
                      <m:t>k</m:t>
                    </m:r>
                  </m:oMath>
                </m:oMathPara>
              </a14:m>
              <a:endParaRPr lang="en-US" sz="1800" baseline="-250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871D77B-F40F-476A-A071-05109EA8E904}"/>
                </a:ext>
              </a:extLst>
            </xdr:cNvPr>
            <xdr:cNvSpPr txBox="1"/>
          </xdr:nvSpPr>
          <xdr:spPr>
            <a:xfrm>
              <a:off x="3445330" y="18304330"/>
              <a:ext cx="2609850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R_k^((P)) "</a:t>
              </a:r>
              <a:r>
                <a:rPr lang="en-US" sz="2400" i="0">
                  <a:latin typeface="Cambria Math" panose="02040503050406030204" pitchFamily="18" charset="0"/>
                </a:rPr>
                <a:t>=rank of </a:t>
              </a:r>
              <a:r>
                <a:rPr lang="en-US" sz="2400" b="0" i="0">
                  <a:latin typeface="Cambria Math" panose="02040503050406030204" pitchFamily="18" charset="0"/>
                </a:rPr>
                <a:t>P</a:t>
              </a:r>
              <a:r>
                <a:rPr lang="en-US" sz="2400" i="0" baseline="-25000">
                  <a:latin typeface="Cambria Math" panose="02040503050406030204" pitchFamily="18" charset="0"/>
                </a:rPr>
                <a:t>k"</a:t>
              </a:r>
              <a:endParaRPr lang="en-US" sz="1800" baseline="-25000"/>
            </a:p>
          </xdr:txBody>
        </xdr:sp>
      </mc:Fallback>
    </mc:AlternateContent>
    <xdr:clientData/>
  </xdr:oneCellAnchor>
  <xdr:oneCellAnchor>
    <xdr:from>
      <xdr:col>4</xdr:col>
      <xdr:colOff>223157</xdr:colOff>
      <xdr:row>100</xdr:row>
      <xdr:rowOff>141517</xdr:rowOff>
    </xdr:from>
    <xdr:ext cx="3124199" cy="4703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71D7AEF-4085-4263-8422-D5D39E2F5EFB}"/>
                </a:ext>
              </a:extLst>
            </xdr:cNvPr>
            <xdr:cNvSpPr txBox="1"/>
          </xdr:nvSpPr>
          <xdr:spPr>
            <a:xfrm>
              <a:off x="2966357" y="18877192"/>
              <a:ext cx="3124199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24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m:rPr>
                          <m:sty m:val="p"/>
                        </m:rPr>
                        <a:rPr lang="en-US" sz="2400" b="0" i="1">
                          <a:latin typeface="Cambria Math" panose="02040503050406030204" pitchFamily="18" charset="0"/>
                        </a:rPr>
                        <m:t>R</m:t>
                      </m:r>
                    </m:e>
                    <m:sub>
                      <m:r>
                        <m:rPr>
                          <m:sty m:val="p"/>
                        </m:rPr>
                        <a:rPr lang="en-US" sz="2400" b="0" i="1">
                          <a:latin typeface="Cambria Math" panose="02040503050406030204" pitchFamily="18" charset="0"/>
                        </a:rPr>
                        <m:t>k</m:t>
                      </m:r>
                    </m:sub>
                    <m:sup>
                      <m:r>
                        <m:rPr>
                          <m:sty m:val="p"/>
                        </m:rPr>
                        <a:rPr lang="en-US" sz="2400" b="0" i="1">
                          <a:latin typeface="Cambria Math" panose="02040503050406030204" pitchFamily="18" charset="0"/>
                        </a:rPr>
                        <m:t>combined</m:t>
                      </m:r>
                    </m:sup>
                  </m:sSubSup>
                  <m:r>
                    <m:rPr>
                      <m:nor/>
                    </m:rPr>
                    <a:rPr lang="en-US" sz="2400" i="0">
                      <a:latin typeface="Cambria Math" panose="02040503050406030204" pitchFamily="18" charset="0"/>
                    </a:rPr>
                    <m:t>= </m:t>
                  </m:r>
                  <m:sSubSup>
                    <m:sSubSupPr>
                      <m:ctrl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R</m:t>
                      </m:r>
                    </m:e>
                    <m:sub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k</m:t>
                      </m:r>
                    </m:sub>
                    <m:sup>
                      <m: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D</m:t>
                      </m:r>
                      <m: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sup>
                  </m:sSubSup>
                  <m:r>
                    <a:rPr kumimoji="0" lang="en-US" sz="24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</m:oMath>
              </a14:m>
              <a:r>
                <a:rPr lang="en-US" sz="1800" baseline="-25000"/>
                <a:t> </a:t>
              </a:r>
              <a14:m>
                <m:oMath xmlns:m="http://schemas.openxmlformats.org/officeDocument/2006/math">
                  <m:sSubSup>
                    <m:sSubSupPr>
                      <m:ctrl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R</m:t>
                      </m:r>
                    </m:e>
                    <m:sub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k</m:t>
                      </m:r>
                    </m:sub>
                    <m:sup>
                      <m: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P</m:t>
                      </m:r>
                      <m: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sup>
                  </m:sSubSup>
                </m:oMath>
              </a14:m>
              <a:endParaRPr lang="en-US" sz="1800" baseline="-250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71D7AEF-4085-4263-8422-D5D39E2F5EFB}"/>
                </a:ext>
              </a:extLst>
            </xdr:cNvPr>
            <xdr:cNvSpPr txBox="1"/>
          </xdr:nvSpPr>
          <xdr:spPr>
            <a:xfrm>
              <a:off x="2966357" y="18877192"/>
              <a:ext cx="3124199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R_k^combined "</a:t>
              </a:r>
              <a:r>
                <a:rPr lang="en-US" sz="2400" i="0">
                  <a:latin typeface="Cambria Math" panose="02040503050406030204" pitchFamily="18" charset="0"/>
                </a:rPr>
                <a:t>= 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" R_k^((D))+</a:t>
              </a:r>
              <a:r>
                <a:rPr lang="en-US" sz="1800" baseline="-25000"/>
                <a:t> 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R_k^((P))</a:t>
              </a:r>
              <a:endParaRPr lang="en-US" sz="1800" baseline="-25000"/>
            </a:p>
          </xdr:txBody>
        </xdr:sp>
      </mc:Fallback>
    </mc:AlternateContent>
    <xdr:clientData/>
  </xdr:oneCellAnchor>
  <xdr:oneCellAnchor>
    <xdr:from>
      <xdr:col>3</xdr:col>
      <xdr:colOff>340179</xdr:colOff>
      <xdr:row>103</xdr:row>
      <xdr:rowOff>136071</xdr:rowOff>
    </xdr:from>
    <xdr:ext cx="5116286" cy="396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FF8B91A-AE88-409C-88CD-912B6BF7CFBB}"/>
                </a:ext>
              </a:extLst>
            </xdr:cNvPr>
            <xdr:cNvSpPr txBox="1"/>
          </xdr:nvSpPr>
          <xdr:spPr>
            <a:xfrm>
              <a:off x="2397579" y="19414671"/>
              <a:ext cx="5116286" cy="396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𝑆𝐸𝐺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_</m:t>
                    </m:r>
                    <m:r>
                      <m:rPr>
                        <m:sty m:val="p"/>
                      </m:rPr>
                      <a:rPr lang="en-US" sz="2000" b="0" i="1">
                        <a:latin typeface="Cambria Math" panose="02040503050406030204" pitchFamily="18" charset="0"/>
                      </a:rPr>
                      <m:t>FINAL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 =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𝑎𝑟𝑔</m:t>
                    </m:r>
                    <m:r>
                      <m:rPr>
                        <m:sty m:val="p"/>
                      </m:rPr>
                      <a:rPr lang="en-US" sz="2000" b="0" i="1">
                        <a:latin typeface="Cambria Math" panose="02040503050406030204" pitchFamily="18" charset="0"/>
                      </a:rPr>
                      <m:t>min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 </m:t>
                    </m:r>
                    <m:sSubSup>
                      <m:sSubSupPr>
                        <m:ctrlPr>
                          <a:rPr kumimoji="0" lang="en-US" sz="2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kumimoji="0" lang="en-US" sz="2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R</m:t>
                        </m:r>
                      </m:e>
                      <m:sub>
                        <m:r>
                          <m:rPr>
                            <m:sty m:val="p"/>
                          </m:rPr>
                          <a:rPr kumimoji="0" lang="en-US" sz="2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k</m:t>
                        </m:r>
                      </m:sub>
                      <m:sup>
                        <m:r>
                          <m:rPr>
                            <m:sty m:val="p"/>
                          </m:rPr>
                          <a:rPr kumimoji="0" lang="en-US" sz="2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combined</m:t>
                        </m:r>
                      </m:sup>
                    </m:sSubSup>
                    <m:r>
                      <a:rPr lang="en-US" sz="2000" i="1">
                        <a:latin typeface="Cambria Math" panose="02040503050406030204" pitchFamily="18" charset="0"/>
                      </a:rPr>
                      <m:t>     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FF8B91A-AE88-409C-88CD-912B6BF7CFBB}"/>
                </a:ext>
              </a:extLst>
            </xdr:cNvPr>
            <xdr:cNvSpPr txBox="1"/>
          </xdr:nvSpPr>
          <xdr:spPr>
            <a:xfrm>
              <a:off x="2397579" y="19414671"/>
              <a:ext cx="5116286" cy="396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000" i="0">
                  <a:latin typeface="Cambria Math" panose="02040503050406030204" pitchFamily="18" charset="0"/>
                </a:rPr>
                <a:t> 𝑆𝐸𝐺_</a:t>
              </a:r>
              <a:r>
                <a:rPr lang="en-US" sz="2000" b="0" i="0">
                  <a:latin typeface="Cambria Math" panose="02040503050406030204" pitchFamily="18" charset="0"/>
                </a:rPr>
                <a:t>FINAL</a:t>
              </a:r>
              <a:r>
                <a:rPr lang="en-US" sz="2000" i="0">
                  <a:latin typeface="Cambria Math" panose="02040503050406030204" pitchFamily="18" charset="0"/>
                </a:rPr>
                <a:t> = 𝑎𝑟𝑔</a:t>
              </a:r>
              <a:r>
                <a:rPr lang="en-US" sz="2000" b="0" i="0">
                  <a:latin typeface="Cambria Math" panose="02040503050406030204" pitchFamily="18" charset="0"/>
                </a:rPr>
                <a:t>min</a:t>
              </a:r>
              <a:r>
                <a:rPr lang="en-US" sz="2000" i="0">
                  <a:latin typeface="Cambria Math" panose="02040503050406030204" pitchFamily="18" charset="0"/>
                </a:rPr>
                <a:t>ₖ 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R_k^combined</a:t>
              </a:r>
              <a:r>
                <a:rPr kumimoji="0" lang="en-US" sz="20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2000" i="0">
                  <a:latin typeface="Cambria Math" panose="02040503050406030204" pitchFamily="18" charset="0"/>
                </a:rPr>
                <a:t>     </a:t>
              </a:r>
              <a:endParaRPr lang="en-US" sz="20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180974</xdr:colOff>
      <xdr:row>41</xdr:row>
      <xdr:rowOff>95250</xdr:rowOff>
    </xdr:from>
    <xdr:ext cx="3495675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285DD0-BDC9-418C-8E0C-6FB4B29BEE2A}"/>
                </a:ext>
              </a:extLst>
            </xdr:cNvPr>
            <xdr:cNvSpPr txBox="1"/>
          </xdr:nvSpPr>
          <xdr:spPr>
            <a:xfrm>
              <a:off x="2222045" y="7946571"/>
              <a:ext cx="34956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𝑆𝐸</m:t>
                    </m:r>
                    <m:sSub>
                      <m:sSub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𝐺</m:t>
                        </m:r>
                      </m:e>
                      <m:sub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𝐶𝐸𝑁𝑇</m:t>
                        </m:r>
                      </m:sub>
                    </m:sSub>
                    <m:r>
                      <a:rPr lang="en-US" sz="20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𝑎𝑟𝑔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𝑚𝑖𝑛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 (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ₖ)   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285DD0-BDC9-418C-8E0C-6FB4B29BEE2A}"/>
                </a:ext>
              </a:extLst>
            </xdr:cNvPr>
            <xdr:cNvSpPr txBox="1"/>
          </xdr:nvSpPr>
          <xdr:spPr>
            <a:xfrm>
              <a:off x="2222045" y="7946571"/>
              <a:ext cx="34956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000" i="0">
                  <a:latin typeface="Cambria Math" panose="02040503050406030204" pitchFamily="18" charset="0"/>
                </a:rPr>
                <a:t> 𝑆𝐸𝐺_𝐶𝐸𝑁𝑇=</a:t>
              </a:r>
              <a:r>
                <a:rPr lang="en-US" sz="2000" b="0" i="0">
                  <a:latin typeface="Cambria Math" panose="02040503050406030204" pitchFamily="18" charset="0"/>
                </a:rPr>
                <a:t>𝑎𝑟𝑔</a:t>
              </a:r>
              <a:r>
                <a:rPr lang="en-US" sz="2000" i="0">
                  <a:latin typeface="Cambria Math" panose="02040503050406030204" pitchFamily="18" charset="0"/>
                </a:rPr>
                <a:t>𝑚𝑖𝑛ₖ (𝐷ₖ)   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3</xdr:col>
      <xdr:colOff>590550</xdr:colOff>
      <xdr:row>81</xdr:row>
      <xdr:rowOff>142875</xdr:rowOff>
    </xdr:from>
    <xdr:ext cx="3495675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18C368-26A5-4C79-BCEE-EF72231E86C4}"/>
                </a:ext>
              </a:extLst>
            </xdr:cNvPr>
            <xdr:cNvSpPr txBox="1"/>
          </xdr:nvSpPr>
          <xdr:spPr>
            <a:xfrm>
              <a:off x="2647950" y="9658350"/>
              <a:ext cx="34956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ₖ=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𝑒𝑥𝑝</m:t>
                    </m:r>
                    <m:d>
                      <m:d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l-GR" sz="2000" i="1">
                            <a:latin typeface="Cambria Math" panose="02040503050406030204" pitchFamily="18" charset="0"/>
                          </a:rPr>
                          <m:t>𝜂</m:t>
                        </m:r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ₖ</m:t>
                        </m:r>
                      </m:e>
                    </m:d>
                    <m:r>
                      <m:rPr>
                        <m:lit/>
                      </m:rPr>
                      <a:rPr lang="en-US" sz="2000" i="1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l-G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2000" i="1">
                            <a:latin typeface="Cambria Math" panose="02040503050406030204" pitchFamily="18" charset="0"/>
                          </a:rPr>
                          <m:t>𝛴</m:t>
                        </m:r>
                      </m:e>
                      <m:sub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2000" i="1">
                        <a:latin typeface="Cambria Math" panose="02040503050406030204" pitchFamily="18" charset="0"/>
                      </a:rPr>
                      <m:t>𝑒𝑥𝑝</m:t>
                    </m:r>
                    <m:d>
                      <m:d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l-GR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l-GR" sz="2000" i="1">
                                <a:latin typeface="Cambria Math" panose="02040503050406030204" pitchFamily="18" charset="0"/>
                              </a:rPr>
                              <m:t>𝜂</m:t>
                            </m:r>
                          </m:e>
                          <m:sub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18C368-26A5-4C79-BCEE-EF72231E86C4}"/>
                </a:ext>
              </a:extLst>
            </xdr:cNvPr>
            <xdr:cNvSpPr txBox="1"/>
          </xdr:nvSpPr>
          <xdr:spPr>
            <a:xfrm>
              <a:off x="2647950" y="9658350"/>
              <a:ext cx="34956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000" i="0">
                  <a:latin typeface="Cambria Math" panose="02040503050406030204" pitchFamily="18" charset="0"/>
                </a:rPr>
                <a:t>𝑃ₖ=𝑒𝑥𝑝(</a:t>
              </a:r>
              <a:r>
                <a:rPr lang="el-GR" sz="2000" i="0">
                  <a:latin typeface="Cambria Math" panose="02040503050406030204" pitchFamily="18" charset="0"/>
                </a:rPr>
                <a:t>𝜂</a:t>
              </a:r>
              <a:r>
                <a:rPr lang="en-US" sz="2000" i="0">
                  <a:latin typeface="Cambria Math" panose="02040503050406030204" pitchFamily="18" charset="0"/>
                </a:rPr>
                <a:t>ₖ)\/</a:t>
              </a:r>
              <a:r>
                <a:rPr lang="el-GR" sz="2000" i="0">
                  <a:latin typeface="Cambria Math" panose="02040503050406030204" pitchFamily="18" charset="0"/>
                </a:rPr>
                <a:t>𝛴_</a:t>
              </a:r>
              <a:r>
                <a:rPr lang="en-US" sz="2000" i="0">
                  <a:latin typeface="Cambria Math" panose="02040503050406030204" pitchFamily="18" charset="0"/>
                </a:rPr>
                <a:t>ℎ 𝑒𝑥𝑝(</a:t>
              </a:r>
              <a:r>
                <a:rPr lang="el-GR" sz="2000" i="0">
                  <a:latin typeface="Cambria Math" panose="02040503050406030204" pitchFamily="18" charset="0"/>
                </a:rPr>
                <a:t>𝜂_</a:t>
              </a:r>
              <a:r>
                <a:rPr lang="en-US" sz="2000" i="0">
                  <a:latin typeface="Cambria Math" panose="02040503050406030204" pitchFamily="18" charset="0"/>
                </a:rPr>
                <a:t>ℎ 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2</xdr:col>
      <xdr:colOff>304800</xdr:colOff>
      <xdr:row>84</xdr:row>
      <xdr:rowOff>123825</xdr:rowOff>
    </xdr:from>
    <xdr:ext cx="4105275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511D5C7-517E-427F-A41C-E29A5BDD93B4}"/>
                </a:ext>
              </a:extLst>
            </xdr:cNvPr>
            <xdr:cNvSpPr txBox="1"/>
          </xdr:nvSpPr>
          <xdr:spPr>
            <a:xfrm>
              <a:off x="1676400" y="10182225"/>
              <a:ext cx="41052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𝑆𝐸𝐺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𝑅𝐸𝐺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 =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𝑎𝑟𝑔𝑚𝑎𝑥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     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511D5C7-517E-427F-A41C-E29A5BDD93B4}"/>
                </a:ext>
              </a:extLst>
            </xdr:cNvPr>
            <xdr:cNvSpPr txBox="1"/>
          </xdr:nvSpPr>
          <xdr:spPr>
            <a:xfrm>
              <a:off x="1676400" y="10182225"/>
              <a:ext cx="410527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000" i="0">
                  <a:latin typeface="Cambria Math" panose="02040503050406030204" pitchFamily="18" charset="0"/>
                </a:rPr>
                <a:t> 𝑆𝐸𝐺_𝑅𝐸𝐺 = 𝑎𝑟𝑔𝑚𝑎𝑥ₖ 𝑃ₖ     </a:t>
              </a:r>
              <a:endParaRPr lang="en-US" sz="2000"/>
            </a:p>
          </xdr:txBody>
        </xdr:sp>
      </mc:Fallback>
    </mc:AlternateContent>
    <xdr:clientData/>
  </xdr:oneCellAnchor>
  <xdr:twoCellAnchor>
    <xdr:from>
      <xdr:col>3</xdr:col>
      <xdr:colOff>66675</xdr:colOff>
      <xdr:row>87</xdr:row>
      <xdr:rowOff>66675</xdr:rowOff>
    </xdr:from>
    <xdr:to>
      <xdr:col>3</xdr:col>
      <xdr:colOff>419100</xdr:colOff>
      <xdr:row>90</xdr:row>
      <xdr:rowOff>19050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6EAD043-8FC4-47E6-9C44-DF0FBC6E2230}"/>
            </a:ext>
          </a:extLst>
        </xdr:cNvPr>
        <xdr:cNvSpPr/>
      </xdr:nvSpPr>
      <xdr:spPr>
        <a:xfrm>
          <a:off x="2124075" y="10668000"/>
          <a:ext cx="352425" cy="495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247650</xdr:colOff>
      <xdr:row>38</xdr:row>
      <xdr:rowOff>0</xdr:rowOff>
    </xdr:from>
    <xdr:ext cx="2324100" cy="4190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9CF19EE-AC1F-44A5-A151-4F2E2AA49F71}"/>
                </a:ext>
              </a:extLst>
            </xdr:cNvPr>
            <xdr:cNvSpPr txBox="1"/>
          </xdr:nvSpPr>
          <xdr:spPr>
            <a:xfrm>
              <a:off x="2288721" y="7279821"/>
              <a:ext cx="2324100" cy="419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ₖ=</m:t>
                    </m:r>
                    <m:sSub>
                      <m:sSubPr>
                        <m:ctrlPr>
                          <a:rPr lang="el-G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2000" i="1">
                            <a:latin typeface="Cambria Math" panose="02040503050406030204" pitchFamily="18" charset="0"/>
                          </a:rPr>
                          <m:t>𝛴</m:t>
                        </m:r>
                      </m:e>
                      <m:sub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sSup>
                      <m:sSup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kumimoji="0" lang="en-US" sz="20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z</m:t>
                            </m:r>
                            <m:sSub>
                              <m:sSubPr>
                                <m:ctrl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BW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j</m:t>
                                </m:r>
                              </m:sub>
                            </m:sSub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–</m:t>
                            </m:r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ₖ</m:t>
                            </m:r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ⱼ</m:t>
                            </m:r>
                          </m:e>
                        </m:d>
                      </m:e>
                      <m:sup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9CF19EE-AC1F-44A5-A151-4F2E2AA49F71}"/>
                </a:ext>
              </a:extLst>
            </xdr:cNvPr>
            <xdr:cNvSpPr txBox="1"/>
          </xdr:nvSpPr>
          <xdr:spPr>
            <a:xfrm>
              <a:off x="2288721" y="7279821"/>
              <a:ext cx="2324100" cy="419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000" i="0">
                  <a:latin typeface="Cambria Math" panose="02040503050406030204" pitchFamily="18" charset="0"/>
                </a:rPr>
                <a:t>𝐷ₖ=</a:t>
              </a:r>
              <a:r>
                <a:rPr lang="el-GR" sz="2000" i="0">
                  <a:latin typeface="Cambria Math" panose="02040503050406030204" pitchFamily="18" charset="0"/>
                </a:rPr>
                <a:t>𝛴_</a:t>
              </a:r>
              <a:r>
                <a:rPr lang="en-US" sz="2000" i="0">
                  <a:latin typeface="Cambria Math" panose="02040503050406030204" pitchFamily="18" charset="0"/>
                </a:rPr>
                <a:t>𝑗 (</a:t>
              </a:r>
              <a:r>
                <a:rPr kumimoji="0" lang="en-US" sz="20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zBW_j</a:t>
              </a:r>
              <a:r>
                <a:rPr lang="en-US" sz="2000" i="0">
                  <a:latin typeface="Cambria Math" panose="02040503050406030204" pitchFamily="18" charset="0"/>
                </a:rPr>
                <a:t>–𝐶ₖⱼ)^2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5</xdr:col>
      <xdr:colOff>182335</xdr:colOff>
      <xdr:row>14</xdr:row>
      <xdr:rowOff>39460</xdr:rowOff>
    </xdr:from>
    <xdr:ext cx="2960915" cy="9266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2038CA-DB18-7236-97FC-878D79FC2F98}"/>
                </a:ext>
              </a:extLst>
            </xdr:cNvPr>
            <xdr:cNvSpPr txBox="1"/>
          </xdr:nvSpPr>
          <xdr:spPr>
            <a:xfrm>
              <a:off x="3584121" y="2910567"/>
              <a:ext cx="2960915" cy="926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2000" b="0" i="1">
                        <a:latin typeface="Cambria Math" panose="02040503050406030204" pitchFamily="18" charset="0"/>
                      </a:rPr>
                      <m:t>z</m:t>
                    </m:r>
                    <m:sSub>
                      <m:sSub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2000" b="0" i="1">
                            <a:latin typeface="Cambria Math" panose="02040503050406030204" pitchFamily="18" charset="0"/>
                          </a:rPr>
                          <m:t>BW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2000" b="0" i="1"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</m:sSub>
                    <m:r>
                      <a:rPr lang="en-US" sz="20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BW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j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2038CA-DB18-7236-97FC-878D79FC2F98}"/>
                </a:ext>
              </a:extLst>
            </xdr:cNvPr>
            <xdr:cNvSpPr txBox="1"/>
          </xdr:nvSpPr>
          <xdr:spPr>
            <a:xfrm>
              <a:off x="3584121" y="2910567"/>
              <a:ext cx="2960915" cy="926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zBW_j</a:t>
              </a:r>
              <a:r>
                <a:rPr lang="en-US" sz="2000" i="0">
                  <a:latin typeface="Cambria Math" panose="02040503050406030204" pitchFamily="18" charset="0"/>
                </a:rPr>
                <a:t>=(</a:t>
              </a:r>
              <a:r>
                <a:rPr lang="en-US" sz="2000" b="0" i="0">
                  <a:latin typeface="Cambria Math" panose="02040503050406030204" pitchFamily="18" charset="0"/>
                </a:rPr>
                <a:t>BW_j  - 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2000" b="0" i="0">
                  <a:latin typeface="Cambria Math" panose="02040503050406030204" pitchFamily="18" charset="0"/>
                </a:rPr>
                <a:t>j)/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sz="2000" b="0" i="0">
                  <a:latin typeface="Cambria Math" panose="02040503050406030204" pitchFamily="18" charset="0"/>
                </a:rPr>
                <a:t>j 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5</xdr:col>
      <xdr:colOff>653141</xdr:colOff>
      <xdr:row>3</xdr:row>
      <xdr:rowOff>13607</xdr:rowOff>
    </xdr:from>
    <xdr:ext cx="4231821" cy="7361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6C3FC05-23D1-435C-9290-6AC5D19D8EEE}"/>
                </a:ext>
              </a:extLst>
            </xdr:cNvPr>
            <xdr:cNvSpPr txBox="1"/>
          </xdr:nvSpPr>
          <xdr:spPr>
            <a:xfrm>
              <a:off x="4054927" y="544286"/>
              <a:ext cx="4231821" cy="7361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2000" b="0" i="0">
                            <a:latin typeface="Cambria Math" panose="02040503050406030204" pitchFamily="18" charset="0"/>
                          </a:rPr>
                          <m:t>BW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2000" b="0" i="0"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</m:sSub>
                    <m:r>
                      <a:rPr lang="en-US" sz="2000" i="0">
                        <a:latin typeface="Cambria Math" panose="02040503050406030204" pitchFamily="18" charset="0"/>
                      </a:rPr>
                      <m:t>​=</m:t>
                    </m:r>
                    <m:nary>
                      <m:naryPr>
                        <m:chr m:val="∑"/>
                        <m:supHide m:val="on"/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7"/>
                          </m:rPr>
                          <a:rPr lang="en-US" sz="2000" b="0" i="0">
                            <a:latin typeface="Cambria Math" panose="02040503050406030204" pitchFamily="18" charset="0"/>
                          </a:rPr>
                          <m:t>t</m:t>
                        </m:r>
                        <m:r>
                          <m:rPr>
                            <m:sty m:val="p"/>
                          </m:rPr>
                          <a:rPr lang="en-US" sz="2000" b="0" i="0">
                            <a:latin typeface="Cambria Math" panose="02040503050406030204" pitchFamily="18" charset="0"/>
                          </a:rPr>
                          <m:t>asks</m:t>
                        </m:r>
                      </m:sub>
                      <m:sup/>
                      <m:e>
                        <m: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​</m:t>
                        </m:r>
                      </m:e>
                    </m:nary>
                    <m: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​{+1=</m:t>
                    </m:r>
                    <m:r>
                      <m:rPr>
                        <m:sty m:val="p"/>
                      </m:rP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Best</m:t>
                    </m:r>
                    <m: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−1=</m:t>
                    </m:r>
                    <m:r>
                      <m:rPr>
                        <m:sty m:val="p"/>
                      </m:rP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Worst</m:t>
                    </m:r>
                    <m: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0=</m:t>
                    </m:r>
                    <m:r>
                      <m:rPr>
                        <m:sty m:val="p"/>
                      </m:rP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Not</m:t>
                    </m:r>
                    <m: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Selected</m:t>
                    </m:r>
                    <m:r>
                      <a:rPr lang="en-US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}</m:t>
                    </m:r>
                  </m:oMath>
                </m:oMathPara>
              </a14:m>
              <a:endParaRPr lang="en-US" sz="2000" i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6C3FC05-23D1-435C-9290-6AC5D19D8EEE}"/>
                </a:ext>
              </a:extLst>
            </xdr:cNvPr>
            <xdr:cNvSpPr txBox="1"/>
          </xdr:nvSpPr>
          <xdr:spPr>
            <a:xfrm>
              <a:off x="4054927" y="544286"/>
              <a:ext cx="4231821" cy="7361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BW_j </a:t>
              </a:r>
              <a:r>
                <a:rPr lang="en-US" sz="2000" i="0">
                  <a:latin typeface="Cambria Math" panose="02040503050406030204" pitchFamily="18" charset="0"/>
                </a:rPr>
                <a:t>​=∑8_</a:t>
              </a:r>
              <a:r>
                <a:rPr lang="en-US" sz="2000" b="0" i="0">
                  <a:latin typeface="Cambria Math" panose="02040503050406030204" pitchFamily="18" charset="0"/>
                </a:rPr>
                <a:t>tasks▒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​ ​{+1=Best, −1=Worst, 0=Not Selected}</a:t>
              </a:r>
              <a:endParaRPr lang="en-US" sz="2000" i="0"/>
            </a:p>
          </xdr:txBody>
        </xdr:sp>
      </mc:Fallback>
    </mc:AlternateContent>
    <xdr:clientData/>
  </xdr:oneCellAnchor>
  <xdr:oneCellAnchor>
    <xdr:from>
      <xdr:col>2</xdr:col>
      <xdr:colOff>408215</xdr:colOff>
      <xdr:row>45</xdr:row>
      <xdr:rowOff>13608</xdr:rowOff>
    </xdr:from>
    <xdr:ext cx="3646714" cy="63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1F066BC-C1B1-495C-89E8-7164603DA7B2}"/>
                </a:ext>
              </a:extLst>
            </xdr:cNvPr>
            <xdr:cNvSpPr txBox="1"/>
          </xdr:nvSpPr>
          <xdr:spPr>
            <a:xfrm>
              <a:off x="1768929" y="8790215"/>
              <a:ext cx="3646714" cy="63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   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𝐷𝐼𝑆𝑇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_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𝑅𝐴𝑇𝐼𝑂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D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2000" b="0" i="1">
                                <a:latin typeface="Cambria Math" panose="02040503050406030204" pitchFamily="18" charset="0"/>
                              </a:rPr>
                              <m:t>D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1F066BC-C1B1-495C-89E8-7164603DA7B2}"/>
                </a:ext>
              </a:extLst>
            </xdr:cNvPr>
            <xdr:cNvSpPr txBox="1"/>
          </xdr:nvSpPr>
          <xdr:spPr>
            <a:xfrm>
              <a:off x="1768929" y="8790215"/>
              <a:ext cx="3646714" cy="63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i="0">
                  <a:latin typeface="Cambria Math" panose="02040503050406030204" pitchFamily="18" charset="0"/>
                </a:rPr>
                <a:t>    𝐷𝐼𝑆𝑇_ 𝑅𝐴𝑇𝐼𝑂 = </a:t>
              </a:r>
              <a:r>
                <a:rPr lang="en-US" sz="2000" b="0" i="0">
                  <a:latin typeface="Cambria Math" panose="02040503050406030204" pitchFamily="18" charset="0"/>
                </a:rPr>
                <a:t> D_2/D_1 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5</xdr:col>
      <xdr:colOff>81643</xdr:colOff>
      <xdr:row>94</xdr:row>
      <xdr:rowOff>108859</xdr:rowOff>
    </xdr:from>
    <xdr:ext cx="2530928" cy="4703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E7BA443-DC23-41EC-96D5-CBBF36AE2C3D}"/>
                </a:ext>
              </a:extLst>
            </xdr:cNvPr>
            <xdr:cNvSpPr txBox="1"/>
          </xdr:nvSpPr>
          <xdr:spPr>
            <a:xfrm>
              <a:off x="3483429" y="17471573"/>
              <a:ext cx="2530928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24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R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k</m:t>
                        </m:r>
                      </m:sub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rank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Dk</m:t>
                    </m:r>
                  </m:oMath>
                </m:oMathPara>
              </a14:m>
              <a:endParaRPr lang="en-US" sz="1800" baseline="-250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E7BA443-DC23-41EC-96D5-CBBF36AE2C3D}"/>
                </a:ext>
              </a:extLst>
            </xdr:cNvPr>
            <xdr:cNvSpPr txBox="1"/>
          </xdr:nvSpPr>
          <xdr:spPr>
            <a:xfrm>
              <a:off x="3483429" y="17471573"/>
              <a:ext cx="2530928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R_k^((D)) "</a:t>
              </a:r>
              <a:r>
                <a:rPr lang="en-US" sz="2400" i="0">
                  <a:latin typeface="Cambria Math" panose="02040503050406030204" pitchFamily="18" charset="0"/>
                </a:rPr>
                <a:t>=rank of D</a:t>
              </a:r>
              <a:r>
                <a:rPr lang="en-US" sz="2400" i="0" baseline="-25000">
                  <a:latin typeface="Cambria Math" panose="02040503050406030204" pitchFamily="18" charset="0"/>
                </a:rPr>
                <a:t>k"</a:t>
              </a:r>
              <a:endParaRPr lang="en-US" sz="1800" baseline="-25000"/>
            </a:p>
          </xdr:txBody>
        </xdr:sp>
      </mc:Fallback>
    </mc:AlternateContent>
    <xdr:clientData/>
  </xdr:oneCellAnchor>
  <xdr:oneCellAnchor>
    <xdr:from>
      <xdr:col>5</xdr:col>
      <xdr:colOff>16330</xdr:colOff>
      <xdr:row>97</xdr:row>
      <xdr:rowOff>111580</xdr:rowOff>
    </xdr:from>
    <xdr:ext cx="2609850" cy="4703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4941788-CD0A-409A-8464-38F0B88E3BC0}"/>
                </a:ext>
              </a:extLst>
            </xdr:cNvPr>
            <xdr:cNvSpPr txBox="1"/>
          </xdr:nvSpPr>
          <xdr:spPr>
            <a:xfrm>
              <a:off x="3418116" y="18004973"/>
              <a:ext cx="2609850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24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R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k</m:t>
                        </m:r>
                      </m:sub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2400" b="0" i="1">
                            <a:latin typeface="Cambria Math" panose="02040503050406030204" pitchFamily="18" charset="0"/>
                          </a:rPr>
                          <m:t>P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rank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sz="24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b="0" i="0">
                        <a:latin typeface="Cambria Math" panose="02040503050406030204" pitchFamily="18" charset="0"/>
                      </a:rPr>
                      <m:t>P</m:t>
                    </m:r>
                    <m:r>
                      <m:rPr>
                        <m:nor/>
                      </m:rPr>
                      <a:rPr lang="en-US" sz="2400" i="0" baseline="-25000">
                        <a:latin typeface="Cambria Math" panose="02040503050406030204" pitchFamily="18" charset="0"/>
                      </a:rPr>
                      <m:t>k</m:t>
                    </m:r>
                  </m:oMath>
                </m:oMathPara>
              </a14:m>
              <a:endParaRPr lang="en-US" sz="1800" baseline="-250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4941788-CD0A-409A-8464-38F0B88E3BC0}"/>
                </a:ext>
              </a:extLst>
            </xdr:cNvPr>
            <xdr:cNvSpPr txBox="1"/>
          </xdr:nvSpPr>
          <xdr:spPr>
            <a:xfrm>
              <a:off x="3418116" y="18004973"/>
              <a:ext cx="2609850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R_k^((P)) "</a:t>
              </a:r>
              <a:r>
                <a:rPr lang="en-US" sz="2400" i="0">
                  <a:latin typeface="Cambria Math" panose="02040503050406030204" pitchFamily="18" charset="0"/>
                </a:rPr>
                <a:t>=rank of </a:t>
              </a:r>
              <a:r>
                <a:rPr lang="en-US" sz="2400" b="0" i="0">
                  <a:latin typeface="Cambria Math" panose="02040503050406030204" pitchFamily="18" charset="0"/>
                </a:rPr>
                <a:t>P</a:t>
              </a:r>
              <a:r>
                <a:rPr lang="en-US" sz="2400" i="0" baseline="-25000">
                  <a:latin typeface="Cambria Math" panose="02040503050406030204" pitchFamily="18" charset="0"/>
                </a:rPr>
                <a:t>k"</a:t>
              </a:r>
              <a:endParaRPr lang="en-US" sz="1800" baseline="-25000"/>
            </a:p>
          </xdr:txBody>
        </xdr:sp>
      </mc:Fallback>
    </mc:AlternateContent>
    <xdr:clientData/>
  </xdr:oneCellAnchor>
  <xdr:oneCellAnchor>
    <xdr:from>
      <xdr:col>4</xdr:col>
      <xdr:colOff>223157</xdr:colOff>
      <xdr:row>100</xdr:row>
      <xdr:rowOff>141517</xdr:rowOff>
    </xdr:from>
    <xdr:ext cx="3124199" cy="4703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241E89A-3EFC-4AFF-B147-8183FA3C6D77}"/>
                </a:ext>
              </a:extLst>
            </xdr:cNvPr>
            <xdr:cNvSpPr txBox="1"/>
          </xdr:nvSpPr>
          <xdr:spPr>
            <a:xfrm>
              <a:off x="2944586" y="18565588"/>
              <a:ext cx="3124199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24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m:rPr>
                          <m:sty m:val="p"/>
                        </m:rPr>
                        <a:rPr lang="en-US" sz="2400" b="0" i="1">
                          <a:latin typeface="Cambria Math" panose="02040503050406030204" pitchFamily="18" charset="0"/>
                        </a:rPr>
                        <m:t>R</m:t>
                      </m:r>
                    </m:e>
                    <m:sub>
                      <m:r>
                        <m:rPr>
                          <m:sty m:val="p"/>
                        </m:rPr>
                        <a:rPr lang="en-US" sz="2400" b="0" i="1">
                          <a:latin typeface="Cambria Math" panose="02040503050406030204" pitchFamily="18" charset="0"/>
                        </a:rPr>
                        <m:t>k</m:t>
                      </m:r>
                    </m:sub>
                    <m:sup>
                      <m:r>
                        <m:rPr>
                          <m:sty m:val="p"/>
                        </m:rPr>
                        <a:rPr lang="en-US" sz="2400" b="0" i="1">
                          <a:latin typeface="Cambria Math" panose="02040503050406030204" pitchFamily="18" charset="0"/>
                        </a:rPr>
                        <m:t>combined</m:t>
                      </m:r>
                    </m:sup>
                  </m:sSubSup>
                  <m:r>
                    <m:rPr>
                      <m:nor/>
                    </m:rPr>
                    <a:rPr lang="en-US" sz="2400" i="0">
                      <a:latin typeface="Cambria Math" panose="02040503050406030204" pitchFamily="18" charset="0"/>
                    </a:rPr>
                    <m:t>= </m:t>
                  </m:r>
                  <m:sSubSup>
                    <m:sSubSupPr>
                      <m:ctrl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R</m:t>
                      </m:r>
                    </m:e>
                    <m:sub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k</m:t>
                      </m:r>
                    </m:sub>
                    <m:sup>
                      <m: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D</m:t>
                      </m:r>
                      <m: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sup>
                  </m:sSubSup>
                  <m:r>
                    <a:rPr kumimoji="0" lang="en-US" sz="24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</m:oMath>
              </a14:m>
              <a:r>
                <a:rPr lang="en-US" sz="1800" baseline="-25000"/>
                <a:t> </a:t>
              </a:r>
              <a14:m>
                <m:oMath xmlns:m="http://schemas.openxmlformats.org/officeDocument/2006/math">
                  <m:sSubSup>
                    <m:sSubSupPr>
                      <m:ctrl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R</m:t>
                      </m:r>
                    </m:e>
                    <m:sub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k</m:t>
                      </m:r>
                    </m:sub>
                    <m:sup>
                      <m: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m:rPr>
                          <m:sty m:val="p"/>
                        </m:rP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P</m:t>
                      </m:r>
                      <m:r>
                        <a:rPr kumimoji="0" lang="en-US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sup>
                  </m:sSubSup>
                </m:oMath>
              </a14:m>
              <a:endParaRPr lang="en-US" sz="1800" baseline="-250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241E89A-3EFC-4AFF-B147-8183FA3C6D77}"/>
                </a:ext>
              </a:extLst>
            </xdr:cNvPr>
            <xdr:cNvSpPr txBox="1"/>
          </xdr:nvSpPr>
          <xdr:spPr>
            <a:xfrm>
              <a:off x="2944586" y="18565588"/>
              <a:ext cx="3124199" cy="47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R_k^combined "</a:t>
              </a:r>
              <a:r>
                <a:rPr lang="en-US" sz="2400" i="0">
                  <a:latin typeface="Cambria Math" panose="02040503050406030204" pitchFamily="18" charset="0"/>
                </a:rPr>
                <a:t>= 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" R_k^((D))+</a:t>
              </a:r>
              <a:r>
                <a:rPr lang="en-US" sz="1800" baseline="-25000"/>
                <a:t> 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R_k^((P))</a:t>
              </a:r>
              <a:endParaRPr lang="en-US" sz="1800" baseline="-25000"/>
            </a:p>
          </xdr:txBody>
        </xdr:sp>
      </mc:Fallback>
    </mc:AlternateContent>
    <xdr:clientData/>
  </xdr:oneCellAnchor>
  <xdr:oneCellAnchor>
    <xdr:from>
      <xdr:col>3</xdr:col>
      <xdr:colOff>340179</xdr:colOff>
      <xdr:row>103</xdr:row>
      <xdr:rowOff>136071</xdr:rowOff>
    </xdr:from>
    <xdr:ext cx="5116286" cy="396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986AD2C-9844-4806-84EC-06A71510674F}"/>
                </a:ext>
              </a:extLst>
            </xdr:cNvPr>
            <xdr:cNvSpPr txBox="1"/>
          </xdr:nvSpPr>
          <xdr:spPr>
            <a:xfrm>
              <a:off x="2381250" y="19090821"/>
              <a:ext cx="5116286" cy="396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𝑆𝐸𝐺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_</m:t>
                    </m:r>
                    <m:r>
                      <m:rPr>
                        <m:sty m:val="p"/>
                      </m:rPr>
                      <a:rPr lang="en-US" sz="2000" b="0" i="1">
                        <a:latin typeface="Cambria Math" panose="02040503050406030204" pitchFamily="18" charset="0"/>
                      </a:rPr>
                      <m:t>FINAL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 = 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𝑎𝑟𝑔</m:t>
                    </m:r>
                    <m:r>
                      <m:rPr>
                        <m:sty m:val="p"/>
                      </m:rPr>
                      <a:rPr lang="en-US" sz="2000" b="0" i="1">
                        <a:latin typeface="Cambria Math" panose="02040503050406030204" pitchFamily="18" charset="0"/>
                      </a:rPr>
                      <m:t>min</m:t>
                    </m:r>
                    <m:r>
                      <a:rPr lang="en-US" sz="2000" i="1">
                        <a:latin typeface="Cambria Math" panose="02040503050406030204" pitchFamily="18" charset="0"/>
                      </a:rPr>
                      <m:t>ₖ </m:t>
                    </m:r>
                    <m:sSubSup>
                      <m:sSubSupPr>
                        <m:ctrlPr>
                          <a:rPr kumimoji="0" lang="en-US" sz="2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kumimoji="0" lang="en-US" sz="2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R</m:t>
                        </m:r>
                      </m:e>
                      <m:sub>
                        <m:r>
                          <m:rPr>
                            <m:sty m:val="p"/>
                          </m:rPr>
                          <a:rPr kumimoji="0" lang="en-US" sz="2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k</m:t>
                        </m:r>
                      </m:sub>
                      <m:sup>
                        <m:r>
                          <m:rPr>
                            <m:sty m:val="p"/>
                          </m:rPr>
                          <a:rPr kumimoji="0" lang="en-US" sz="2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combined</m:t>
                        </m:r>
                      </m:sup>
                    </m:sSubSup>
                    <m:r>
                      <a:rPr lang="en-US" sz="2000" i="1">
                        <a:latin typeface="Cambria Math" panose="02040503050406030204" pitchFamily="18" charset="0"/>
                      </a:rPr>
                      <m:t>     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986AD2C-9844-4806-84EC-06A71510674F}"/>
                </a:ext>
              </a:extLst>
            </xdr:cNvPr>
            <xdr:cNvSpPr txBox="1"/>
          </xdr:nvSpPr>
          <xdr:spPr>
            <a:xfrm>
              <a:off x="2381250" y="19090821"/>
              <a:ext cx="5116286" cy="396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000" i="0">
                  <a:latin typeface="Cambria Math" panose="02040503050406030204" pitchFamily="18" charset="0"/>
                </a:rPr>
                <a:t> 𝑆𝐸𝐺_</a:t>
              </a:r>
              <a:r>
                <a:rPr lang="en-US" sz="2000" b="0" i="0">
                  <a:latin typeface="Cambria Math" panose="02040503050406030204" pitchFamily="18" charset="0"/>
                </a:rPr>
                <a:t>FINAL</a:t>
              </a:r>
              <a:r>
                <a:rPr lang="en-US" sz="2000" i="0">
                  <a:latin typeface="Cambria Math" panose="02040503050406030204" pitchFamily="18" charset="0"/>
                </a:rPr>
                <a:t> = 𝑎𝑟𝑔</a:t>
              </a:r>
              <a:r>
                <a:rPr lang="en-US" sz="2000" b="0" i="0">
                  <a:latin typeface="Cambria Math" panose="02040503050406030204" pitchFamily="18" charset="0"/>
                </a:rPr>
                <a:t>min</a:t>
              </a:r>
              <a:r>
                <a:rPr lang="en-US" sz="2000" i="0">
                  <a:latin typeface="Cambria Math" panose="02040503050406030204" pitchFamily="18" charset="0"/>
                </a:rPr>
                <a:t>ₖ 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R_k^combined</a:t>
              </a:r>
              <a:r>
                <a:rPr kumimoji="0" lang="en-US" sz="20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2000" i="0">
                  <a:latin typeface="Cambria Math" panose="02040503050406030204" pitchFamily="18" charset="0"/>
                </a:rPr>
                <a:t>     </a:t>
              </a:r>
              <a:endParaRPr lang="en-US" sz="20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E87D-A077-4FD4-947E-7B50BF0E27EC}">
  <dimension ref="A1:AE198"/>
  <sheetViews>
    <sheetView tabSelected="1" zoomScale="69" zoomScaleNormal="70" workbookViewId="0">
      <selection activeCell="E70" sqref="E70"/>
    </sheetView>
  </sheetViews>
  <sheetFormatPr defaultRowHeight="14.25"/>
  <cols>
    <col min="1" max="1" width="6.5" customWidth="1"/>
    <col min="2" max="2" width="22.125" customWidth="1"/>
    <col min="3" max="3" width="18.375" customWidth="1"/>
    <col min="18" max="18" width="20.75" customWidth="1"/>
    <col min="19" max="19" width="14" customWidth="1"/>
    <col min="20" max="20" width="11.875" customWidth="1"/>
    <col min="21" max="21" width="15.125" customWidth="1"/>
    <col min="22" max="22" width="11.875" customWidth="1"/>
    <col min="23" max="23" width="15.5" bestFit="1" customWidth="1"/>
    <col min="24" max="24" width="15" bestFit="1" customWidth="1"/>
    <col min="25" max="25" width="14.75" bestFit="1" customWidth="1"/>
    <col min="26" max="26" width="14.625" bestFit="1" customWidth="1"/>
    <col min="27" max="27" width="16.375" customWidth="1"/>
    <col min="28" max="28" width="12.375" customWidth="1"/>
    <col min="29" max="29" width="12.125" customWidth="1"/>
    <col min="30" max="30" width="12" customWidth="1"/>
  </cols>
  <sheetData>
    <row r="1" spans="1:29" ht="22.5">
      <c r="A1" s="296" t="s">
        <v>0</v>
      </c>
      <c r="T1" s="285"/>
      <c r="U1" s="285"/>
      <c r="V1" s="285"/>
      <c r="W1" s="285"/>
      <c r="X1" s="285"/>
      <c r="Y1" s="285"/>
      <c r="Z1" s="285"/>
    </row>
    <row r="2" spans="1:29" ht="15.75">
      <c r="A2" s="159" t="s">
        <v>1</v>
      </c>
      <c r="T2" s="287" t="s">
        <v>2</v>
      </c>
      <c r="U2" s="287" t="s">
        <v>3</v>
      </c>
      <c r="V2" s="303" t="s">
        <v>4</v>
      </c>
      <c r="W2" s="303"/>
      <c r="X2" s="286" t="s">
        <v>5</v>
      </c>
      <c r="Y2" s="286"/>
      <c r="Z2" s="285"/>
      <c r="AC2" s="147"/>
    </row>
    <row r="3" spans="1:29">
      <c r="H3" s="128" t="s">
        <v>6</v>
      </c>
      <c r="I3" s="299" t="s">
        <v>7</v>
      </c>
      <c r="J3" s="299" t="s">
        <v>8</v>
      </c>
      <c r="K3" s="299" t="s">
        <v>9</v>
      </c>
      <c r="L3" s="299" t="s">
        <v>10</v>
      </c>
      <c r="M3" s="299" t="s">
        <v>11</v>
      </c>
      <c r="N3" s="299" t="s">
        <v>12</v>
      </c>
      <c r="T3" s="291"/>
    </row>
    <row r="4" spans="1:29" ht="15" customHeight="1">
      <c r="B4" s="110"/>
      <c r="C4" s="110"/>
      <c r="D4" s="110"/>
      <c r="E4" s="110"/>
      <c r="F4" s="110"/>
      <c r="G4" s="110"/>
      <c r="H4" s="129" t="s">
        <v>7</v>
      </c>
      <c r="I4" s="300"/>
      <c r="J4" s="300"/>
      <c r="K4" s="300"/>
      <c r="L4" s="300"/>
      <c r="M4" s="300"/>
      <c r="N4" s="300"/>
      <c r="T4" s="291"/>
    </row>
    <row r="5" spans="1:29" ht="14.25" customHeight="1">
      <c r="A5" s="137" t="s">
        <v>13</v>
      </c>
      <c r="B5" s="135"/>
      <c r="C5" s="135"/>
      <c r="D5" s="135"/>
      <c r="E5" s="135"/>
      <c r="F5" s="135"/>
      <c r="G5" s="136"/>
      <c r="H5" s="130">
        <v>1</v>
      </c>
      <c r="I5" s="131">
        <v>2</v>
      </c>
      <c r="J5" s="131">
        <v>3</v>
      </c>
      <c r="K5" s="131">
        <v>4</v>
      </c>
      <c r="L5" s="131">
        <v>5</v>
      </c>
      <c r="M5" s="131">
        <v>6</v>
      </c>
      <c r="N5" s="131">
        <v>7</v>
      </c>
      <c r="T5" s="291"/>
    </row>
    <row r="6" spans="1:29">
      <c r="T6" s="291"/>
      <c r="V6" s="1" t="s">
        <v>14</v>
      </c>
      <c r="W6" s="1" t="s">
        <v>15</v>
      </c>
    </row>
    <row r="7" spans="1:29">
      <c r="A7" s="114" t="s">
        <v>16</v>
      </c>
      <c r="B7" s="115" t="s">
        <v>17</v>
      </c>
      <c r="C7" t="s">
        <v>18</v>
      </c>
      <c r="T7" s="292">
        <v>5</v>
      </c>
      <c r="V7">
        <v>5.4272</v>
      </c>
      <c r="W7">
        <v>1.24298</v>
      </c>
      <c r="X7" s="151">
        <f>(T7-V7)/W7</f>
        <v>-0.34369016396080387</v>
      </c>
      <c r="Y7" s="57"/>
    </row>
    <row r="8" spans="1:29">
      <c r="A8" s="114" t="s">
        <v>19</v>
      </c>
      <c r="B8" s="116" t="s">
        <v>20</v>
      </c>
      <c r="C8" s="94" t="s">
        <v>21</v>
      </c>
      <c r="T8" s="292">
        <v>6</v>
      </c>
      <c r="V8">
        <v>4.7622999999999998</v>
      </c>
      <c r="W8">
        <v>1.74011</v>
      </c>
      <c r="X8" s="151">
        <f t="shared" ref="X8:X9" si="0">(T8-V8)/W8</f>
        <v>0.71127687330111322</v>
      </c>
      <c r="Y8" s="57"/>
    </row>
    <row r="9" spans="1:29">
      <c r="A9" s="114" t="s">
        <v>19</v>
      </c>
      <c r="B9" s="116" t="s">
        <v>22</v>
      </c>
      <c r="C9" s="94" t="s">
        <v>23</v>
      </c>
      <c r="T9" s="292">
        <v>7</v>
      </c>
      <c r="V9">
        <v>6.0594999999999999</v>
      </c>
      <c r="W9">
        <v>0.99202999999999997</v>
      </c>
      <c r="X9" s="151">
        <f t="shared" si="0"/>
        <v>0.94805600637077525</v>
      </c>
      <c r="Y9" s="57"/>
    </row>
    <row r="10" spans="1:29">
      <c r="B10" s="91"/>
      <c r="T10" s="291"/>
    </row>
    <row r="11" spans="1:29">
      <c r="B11" s="91"/>
      <c r="H11" s="128" t="s">
        <v>6</v>
      </c>
      <c r="I11" s="299" t="s">
        <v>24</v>
      </c>
      <c r="J11" s="299" t="s">
        <v>25</v>
      </c>
      <c r="K11" s="299" t="s">
        <v>9</v>
      </c>
      <c r="L11" s="299" t="s">
        <v>26</v>
      </c>
      <c r="M11" s="299" t="s">
        <v>27</v>
      </c>
      <c r="N11" s="299" t="s">
        <v>28</v>
      </c>
      <c r="T11" s="291"/>
    </row>
    <row r="12" spans="1:29">
      <c r="B12" s="91"/>
      <c r="H12" s="132" t="s">
        <v>24</v>
      </c>
      <c r="I12" s="310"/>
      <c r="J12" s="310"/>
      <c r="K12" s="310"/>
      <c r="L12" s="310"/>
      <c r="M12" s="310"/>
      <c r="N12" s="310"/>
      <c r="T12" s="291"/>
    </row>
    <row r="13" spans="1:29">
      <c r="A13" s="138" t="s">
        <v>29</v>
      </c>
      <c r="B13" s="138"/>
      <c r="H13" s="133">
        <v>1</v>
      </c>
      <c r="I13" s="134">
        <v>2</v>
      </c>
      <c r="J13" s="134">
        <v>3</v>
      </c>
      <c r="K13" s="134">
        <v>4</v>
      </c>
      <c r="L13" s="134">
        <v>5</v>
      </c>
      <c r="M13" s="134">
        <v>6</v>
      </c>
      <c r="N13" s="134">
        <v>7</v>
      </c>
      <c r="T13" s="291"/>
    </row>
    <row r="14" spans="1:29">
      <c r="B14" s="117"/>
      <c r="T14" s="291"/>
      <c r="V14" s="1" t="s">
        <v>14</v>
      </c>
      <c r="W14" s="1" t="s">
        <v>15</v>
      </c>
    </row>
    <row r="15" spans="1:29">
      <c r="A15" s="114" t="s">
        <v>19</v>
      </c>
      <c r="B15" s="116" t="s">
        <v>30</v>
      </c>
      <c r="C15" s="94" t="s">
        <v>31</v>
      </c>
      <c r="T15" s="292">
        <v>3</v>
      </c>
      <c r="V15">
        <v>5.0090000000000003</v>
      </c>
      <c r="W15">
        <v>1.28372</v>
      </c>
      <c r="X15" s="151">
        <f>(T15-V15)/W15</f>
        <v>-1.5649830181036366</v>
      </c>
    </row>
    <row r="16" spans="1:29">
      <c r="A16" s="114" t="s">
        <v>19</v>
      </c>
      <c r="B16" s="116" t="s">
        <v>32</v>
      </c>
      <c r="C16" s="109" t="s">
        <v>33</v>
      </c>
      <c r="T16" s="292">
        <v>3</v>
      </c>
      <c r="V16">
        <v>5.6310000000000002</v>
      </c>
      <c r="W16">
        <v>1.02132</v>
      </c>
      <c r="X16" s="151">
        <f t="shared" ref="X16" si="1">(T16-V16)/W16</f>
        <v>-2.5760780166842911</v>
      </c>
    </row>
    <row r="17" spans="1:29">
      <c r="A17" s="170" t="s">
        <v>19</v>
      </c>
      <c r="B17" s="118" t="s">
        <v>34</v>
      </c>
      <c r="C17" t="s">
        <v>35</v>
      </c>
      <c r="T17" s="292">
        <v>2</v>
      </c>
      <c r="V17">
        <v>5.2571000000000003</v>
      </c>
      <c r="W17">
        <v>1.14707</v>
      </c>
      <c r="X17" s="288">
        <f>(T17-V17)/W17</f>
        <v>-2.8394954100447229</v>
      </c>
    </row>
    <row r="18" spans="1:29">
      <c r="B18" s="91"/>
      <c r="T18" s="291"/>
    </row>
    <row r="19" spans="1:29">
      <c r="A19" s="113" t="s">
        <v>36</v>
      </c>
      <c r="H19" s="133">
        <v>1</v>
      </c>
      <c r="I19" s="134">
        <v>2</v>
      </c>
      <c r="J19" s="134">
        <v>3</v>
      </c>
      <c r="K19" s="134">
        <v>4</v>
      </c>
      <c r="L19" s="134">
        <v>5</v>
      </c>
      <c r="M19" s="134">
        <v>6</v>
      </c>
      <c r="N19" s="134">
        <v>7</v>
      </c>
      <c r="T19" s="291"/>
    </row>
    <row r="20" spans="1:29">
      <c r="B20" s="91"/>
      <c r="H20" s="9" t="s">
        <v>37</v>
      </c>
      <c r="I20" s="111" t="s">
        <v>37</v>
      </c>
      <c r="J20" s="111" t="s">
        <v>37</v>
      </c>
      <c r="K20" s="111" t="s">
        <v>37</v>
      </c>
      <c r="L20" s="111" t="s">
        <v>37</v>
      </c>
      <c r="M20" s="111" t="s">
        <v>37</v>
      </c>
      <c r="N20" s="111" t="s">
        <v>37</v>
      </c>
      <c r="T20" s="291"/>
      <c r="V20" s="1" t="s">
        <v>14</v>
      </c>
      <c r="W20" s="1" t="s">
        <v>15</v>
      </c>
    </row>
    <row r="21" spans="1:29" s="2" customFormat="1" ht="24.75" customHeight="1">
      <c r="A21" s="139" t="s">
        <v>16</v>
      </c>
      <c r="B21" s="297" t="s">
        <v>38</v>
      </c>
      <c r="C21" s="306" t="s">
        <v>39</v>
      </c>
      <c r="D21" s="306"/>
      <c r="E21" s="306"/>
      <c r="F21" s="306"/>
      <c r="G21" s="306"/>
      <c r="O21" s="307" t="s">
        <v>40</v>
      </c>
      <c r="P21" s="307"/>
      <c r="Q21" s="307"/>
      <c r="R21" s="307"/>
      <c r="S21" s="307"/>
      <c r="T21" s="292">
        <v>6</v>
      </c>
      <c r="V21">
        <v>3.5363000000000002</v>
      </c>
      <c r="W21">
        <v>2.0409899999999999</v>
      </c>
      <c r="X21" s="289">
        <f>((T21-V21)/W21)*-1</f>
        <v>-1.2071102749156046</v>
      </c>
      <c r="Y21" s="112" t="s">
        <v>41</v>
      </c>
    </row>
    <row r="22" spans="1:29" s="2" customFormat="1" ht="24.75" customHeight="1">
      <c r="A22" s="174" t="s">
        <v>19</v>
      </c>
      <c r="B22" s="120" t="s">
        <v>42</v>
      </c>
      <c r="C22" s="306" t="s">
        <v>43</v>
      </c>
      <c r="D22" s="306"/>
      <c r="E22" s="306"/>
      <c r="F22" s="306"/>
      <c r="G22" s="306"/>
      <c r="O22" s="307" t="s">
        <v>44</v>
      </c>
      <c r="P22" s="307"/>
      <c r="Q22" s="307"/>
      <c r="R22" s="307"/>
      <c r="S22" s="307"/>
      <c r="T22" s="292">
        <v>2</v>
      </c>
      <c r="V22">
        <v>4.4206000000000003</v>
      </c>
      <c r="W22">
        <v>2.0296099999999999</v>
      </c>
      <c r="X22" s="221">
        <f>(T22-V22)/W22</f>
        <v>-1.1926429215465042</v>
      </c>
      <c r="Y22" s="112"/>
      <c r="AC22" s="112"/>
    </row>
    <row r="23" spans="1:29">
      <c r="B23" s="91"/>
      <c r="T23" s="291"/>
    </row>
    <row r="24" spans="1:29">
      <c r="B24" s="91"/>
      <c r="T24" s="291"/>
    </row>
    <row r="25" spans="1:29">
      <c r="B25" s="91"/>
      <c r="H25" s="308" t="s">
        <v>45</v>
      </c>
      <c r="I25" s="309"/>
      <c r="J25" s="140"/>
      <c r="K25" s="141"/>
      <c r="L25" s="142"/>
      <c r="M25" s="308" t="s">
        <v>46</v>
      </c>
      <c r="N25" s="309"/>
      <c r="T25" s="291"/>
    </row>
    <row r="26" spans="1:29">
      <c r="A26" s="121" t="s">
        <v>47</v>
      </c>
      <c r="B26" s="121"/>
      <c r="H26" s="143">
        <v>-1</v>
      </c>
      <c r="I26" s="144">
        <v>-2</v>
      </c>
      <c r="J26" s="145">
        <v>-3</v>
      </c>
      <c r="K26" s="145">
        <v>-4</v>
      </c>
      <c r="L26" s="144">
        <v>-5</v>
      </c>
      <c r="M26" s="144">
        <v>-6</v>
      </c>
      <c r="N26" s="144">
        <v>-7</v>
      </c>
      <c r="T26" s="291"/>
    </row>
    <row r="27" spans="1:29">
      <c r="B27" s="121"/>
      <c r="H27" s="146"/>
      <c r="I27" s="146"/>
      <c r="J27" s="146"/>
      <c r="K27" s="146"/>
      <c r="L27" s="146"/>
      <c r="M27" s="146"/>
      <c r="N27" s="146"/>
      <c r="T27" s="291"/>
      <c r="V27" s="1" t="s">
        <v>14</v>
      </c>
      <c r="W27" s="1" t="s">
        <v>15</v>
      </c>
      <c r="X27" s="1"/>
    </row>
    <row r="28" spans="1:29">
      <c r="A28" s="114" t="s">
        <v>19</v>
      </c>
      <c r="B28" s="118" t="s">
        <v>48</v>
      </c>
      <c r="C28" t="s">
        <v>49</v>
      </c>
      <c r="T28" s="292">
        <v>6</v>
      </c>
      <c r="V28" s="90">
        <v>3.2642000000000002</v>
      </c>
      <c r="W28" s="90">
        <v>1.68737</v>
      </c>
      <c r="X28" s="221">
        <f>(T28-V28)/W28</f>
        <v>1.6213397180227216</v>
      </c>
    </row>
    <row r="29" spans="1:29">
      <c r="A29" s="114" t="s">
        <v>19</v>
      </c>
      <c r="B29" s="118" t="s">
        <v>50</v>
      </c>
      <c r="C29" t="s">
        <v>51</v>
      </c>
      <c r="T29" s="292">
        <v>4</v>
      </c>
      <c r="V29" s="90">
        <v>4.5526</v>
      </c>
      <c r="W29" s="90">
        <v>1.5096099999999999</v>
      </c>
      <c r="X29" s="221">
        <f>(T29-V29)/W29</f>
        <v>-0.36605480885791697</v>
      </c>
    </row>
    <row r="30" spans="1:29">
      <c r="A30" s="114" t="s">
        <v>19</v>
      </c>
      <c r="B30" s="118" t="s">
        <v>52</v>
      </c>
      <c r="C30" t="s">
        <v>53</v>
      </c>
      <c r="T30" s="292">
        <v>5</v>
      </c>
      <c r="V30" s="90">
        <v>4.6010999999999997</v>
      </c>
      <c r="W30" s="90">
        <v>1.53148</v>
      </c>
      <c r="X30" s="221">
        <f>(T30-V30)/W30</f>
        <v>0.26046699924256295</v>
      </c>
    </row>
    <row r="31" spans="1:29">
      <c r="A31" s="114" t="s">
        <v>19</v>
      </c>
      <c r="B31" s="118" t="s">
        <v>54</v>
      </c>
      <c r="C31" t="s">
        <v>55</v>
      </c>
      <c r="T31" s="292">
        <v>4</v>
      </c>
      <c r="V31" s="90">
        <v>3.6061000000000001</v>
      </c>
      <c r="W31" s="90">
        <v>1.5441</v>
      </c>
      <c r="X31" s="221">
        <f>(T31-V31)/W31</f>
        <v>0.25510005828638038</v>
      </c>
    </row>
    <row r="32" spans="1:29">
      <c r="A32" s="114" t="s">
        <v>19</v>
      </c>
      <c r="B32" s="118" t="s">
        <v>56</v>
      </c>
      <c r="C32" t="s">
        <v>57</v>
      </c>
      <c r="T32" s="292">
        <v>3</v>
      </c>
      <c r="V32" s="90">
        <v>3.9617</v>
      </c>
      <c r="W32" s="90">
        <v>1.49655</v>
      </c>
      <c r="X32" s="221">
        <f>(T32-V32)/W32</f>
        <v>-0.64261133941398552</v>
      </c>
    </row>
    <row r="33" spans="1:24">
      <c r="T33" s="291"/>
    </row>
    <row r="34" spans="1:24">
      <c r="T34" s="291"/>
    </row>
    <row r="35" spans="1:24">
      <c r="T35" s="291"/>
    </row>
    <row r="36" spans="1:24">
      <c r="H36" t="s">
        <v>58</v>
      </c>
      <c r="T36" s="291"/>
    </row>
    <row r="37" spans="1:24">
      <c r="A37" s="216" t="s">
        <v>59</v>
      </c>
      <c r="H37">
        <v>1</v>
      </c>
      <c r="I37">
        <v>2</v>
      </c>
      <c r="J37">
        <v>3</v>
      </c>
      <c r="K37">
        <v>4</v>
      </c>
      <c r="L37">
        <v>5</v>
      </c>
      <c r="M37">
        <v>6</v>
      </c>
      <c r="N37">
        <v>7</v>
      </c>
      <c r="O37">
        <v>8</v>
      </c>
      <c r="T37" s="291"/>
      <c r="V37" s="1" t="s">
        <v>14</v>
      </c>
      <c r="W37" s="1" t="s">
        <v>15</v>
      </c>
    </row>
    <row r="38" spans="1:24">
      <c r="A38" s="217" t="s">
        <v>60</v>
      </c>
      <c r="B38" s="57" t="s">
        <v>61</v>
      </c>
      <c r="C38" s="57"/>
      <c r="F38" s="149" t="s">
        <v>62</v>
      </c>
      <c r="H38" s="148">
        <v>1</v>
      </c>
      <c r="L38" s="148">
        <v>0</v>
      </c>
      <c r="O38" s="148">
        <v>1</v>
      </c>
      <c r="S38" t="s">
        <v>63</v>
      </c>
      <c r="T38" s="292">
        <f>SUM(H38:O38)</f>
        <v>2</v>
      </c>
      <c r="V38">
        <v>-0.45450000000000002</v>
      </c>
      <c r="W38">
        <v>1.0104200000000001</v>
      </c>
      <c r="X38" s="181">
        <f>(T38-V38)/W38</f>
        <v>2.4291878624730305</v>
      </c>
    </row>
    <row r="39" spans="1:24">
      <c r="A39" s="217" t="s">
        <v>64</v>
      </c>
      <c r="B39" s="57" t="s">
        <v>65</v>
      </c>
      <c r="C39" s="57"/>
      <c r="F39" s="149" t="s">
        <v>62</v>
      </c>
      <c r="I39" s="148">
        <v>0</v>
      </c>
      <c r="L39" s="148">
        <v>0</v>
      </c>
      <c r="S39" t="s">
        <v>66</v>
      </c>
      <c r="T39" s="292">
        <f t="shared" ref="T39:T47" si="2">SUM(H39:O39)</f>
        <v>0</v>
      </c>
      <c r="V39">
        <v>-0.25459999999999999</v>
      </c>
      <c r="W39">
        <v>1.1991000000000001</v>
      </c>
      <c r="X39" s="181">
        <f t="shared" ref="X39:X47" si="3">(T39-V39)/W39</f>
        <v>0.21232591109999163</v>
      </c>
    </row>
    <row r="40" spans="1:24">
      <c r="A40" s="217" t="s">
        <v>67</v>
      </c>
      <c r="B40" s="57" t="s">
        <v>68</v>
      </c>
      <c r="C40" s="57"/>
      <c r="F40" s="149" t="s">
        <v>62</v>
      </c>
      <c r="H40" s="148">
        <v>0</v>
      </c>
      <c r="J40" s="148">
        <v>1</v>
      </c>
      <c r="M40" s="148">
        <v>0</v>
      </c>
      <c r="S40" t="s">
        <v>69</v>
      </c>
      <c r="T40" s="292">
        <f t="shared" si="2"/>
        <v>1</v>
      </c>
      <c r="V40">
        <v>-0.93279999999999996</v>
      </c>
      <c r="W40">
        <v>1.2241200000000001</v>
      </c>
      <c r="X40" s="181">
        <f t="shared" si="3"/>
        <v>1.5789301702447469</v>
      </c>
    </row>
    <row r="41" spans="1:24">
      <c r="A41" s="217" t="s">
        <v>70</v>
      </c>
      <c r="B41" s="57" t="s">
        <v>71</v>
      </c>
      <c r="C41" s="57"/>
      <c r="F41" s="149" t="s">
        <v>62</v>
      </c>
      <c r="I41" s="148">
        <v>0</v>
      </c>
      <c r="K41" s="148">
        <v>0</v>
      </c>
      <c r="M41" s="148">
        <v>0</v>
      </c>
      <c r="N41" s="148">
        <v>-1</v>
      </c>
      <c r="S41" t="s">
        <v>72</v>
      </c>
      <c r="T41" s="292">
        <f t="shared" si="2"/>
        <v>-1</v>
      </c>
      <c r="V41">
        <v>3.8600000000000002E-2</v>
      </c>
      <c r="W41">
        <v>1.13192</v>
      </c>
      <c r="X41" s="181">
        <f t="shared" si="3"/>
        <v>-0.9175560110255141</v>
      </c>
    </row>
    <row r="42" spans="1:24">
      <c r="A42" s="217" t="s">
        <v>73</v>
      </c>
      <c r="B42" s="57" t="s">
        <v>74</v>
      </c>
      <c r="C42" s="57"/>
      <c r="F42" s="149" t="s">
        <v>62</v>
      </c>
      <c r="H42" s="148">
        <v>0</v>
      </c>
      <c r="J42" s="148">
        <v>0</v>
      </c>
      <c r="N42" s="148">
        <v>-1</v>
      </c>
      <c r="O42" s="148">
        <v>-1</v>
      </c>
      <c r="S42" t="s">
        <v>75</v>
      </c>
      <c r="T42" s="292">
        <f t="shared" si="2"/>
        <v>-2</v>
      </c>
      <c r="V42">
        <v>0.99750000000000005</v>
      </c>
      <c r="W42">
        <v>1.3282099999999999</v>
      </c>
      <c r="X42" s="181">
        <f t="shared" si="3"/>
        <v>-2.2567967414791337</v>
      </c>
    </row>
    <row r="43" spans="1:24">
      <c r="A43" s="217" t="s">
        <v>76</v>
      </c>
      <c r="B43" s="57" t="s">
        <v>77</v>
      </c>
      <c r="C43" s="57"/>
      <c r="F43" s="149" t="s">
        <v>62</v>
      </c>
      <c r="I43" s="148">
        <v>1</v>
      </c>
      <c r="K43" s="148">
        <v>1</v>
      </c>
      <c r="N43" s="148">
        <v>0</v>
      </c>
      <c r="O43" s="148">
        <v>0</v>
      </c>
      <c r="S43" t="s">
        <v>78</v>
      </c>
      <c r="T43" s="292">
        <f t="shared" si="2"/>
        <v>2</v>
      </c>
      <c r="V43">
        <v>-0.18509999999999999</v>
      </c>
      <c r="W43">
        <v>1.00078</v>
      </c>
      <c r="X43" s="181">
        <f t="shared" si="3"/>
        <v>2.1833969503787043</v>
      </c>
    </row>
    <row r="44" spans="1:24">
      <c r="A44" s="217" t="s">
        <v>79</v>
      </c>
      <c r="B44" s="57" t="s">
        <v>80</v>
      </c>
      <c r="C44" s="57"/>
      <c r="F44" s="149" t="s">
        <v>62</v>
      </c>
      <c r="H44" s="148">
        <v>-1</v>
      </c>
      <c r="J44" s="148">
        <v>0</v>
      </c>
      <c r="M44" s="148">
        <v>1</v>
      </c>
      <c r="N44" s="148">
        <v>0</v>
      </c>
      <c r="S44" t="s">
        <v>81</v>
      </c>
      <c r="T44" s="292">
        <f t="shared" si="2"/>
        <v>0</v>
      </c>
      <c r="V44">
        <v>0.16739999999999999</v>
      </c>
      <c r="W44">
        <v>1.09544</v>
      </c>
      <c r="X44" s="181">
        <f t="shared" si="3"/>
        <v>-0.15281530709121449</v>
      </c>
    </row>
    <row r="45" spans="1:24">
      <c r="A45" s="217" t="s">
        <v>82</v>
      </c>
      <c r="B45" s="57" t="s">
        <v>83</v>
      </c>
      <c r="C45" s="57"/>
      <c r="F45" s="149" t="s">
        <v>62</v>
      </c>
      <c r="I45" s="148">
        <v>-1</v>
      </c>
      <c r="J45">
        <v>0</v>
      </c>
      <c r="K45" s="148">
        <v>-1</v>
      </c>
      <c r="M45" s="148">
        <v>-1</v>
      </c>
      <c r="S45" t="s">
        <v>84</v>
      </c>
      <c r="T45" s="292">
        <f t="shared" si="2"/>
        <v>-3</v>
      </c>
      <c r="V45">
        <v>0.75929999999999997</v>
      </c>
      <c r="W45">
        <v>1.38839</v>
      </c>
      <c r="X45" s="181">
        <f t="shared" si="3"/>
        <v>-2.7076685945591659</v>
      </c>
    </row>
    <row r="46" spans="1:24">
      <c r="A46" s="217" t="s">
        <v>85</v>
      </c>
      <c r="B46" s="57" t="s">
        <v>86</v>
      </c>
      <c r="C46" s="57"/>
      <c r="F46" s="149" t="s">
        <v>62</v>
      </c>
      <c r="J46" s="148">
        <v>-1</v>
      </c>
      <c r="K46">
        <v>0</v>
      </c>
      <c r="L46" s="148">
        <v>-1</v>
      </c>
      <c r="S46" t="s">
        <v>87</v>
      </c>
      <c r="T46" s="292">
        <f t="shared" si="2"/>
        <v>-2</v>
      </c>
      <c r="V46">
        <v>-0.66710000000000003</v>
      </c>
      <c r="W46">
        <v>1.51346</v>
      </c>
      <c r="X46" s="181">
        <f t="shared" si="3"/>
        <v>-0.88069721036565218</v>
      </c>
    </row>
    <row r="47" spans="1:24">
      <c r="A47" s="217" t="s">
        <v>88</v>
      </c>
      <c r="B47" s="57" t="s">
        <v>89</v>
      </c>
      <c r="C47" s="57"/>
      <c r="F47" s="149" t="s">
        <v>62</v>
      </c>
      <c r="K47" s="148">
        <v>0</v>
      </c>
      <c r="L47" s="148">
        <v>1</v>
      </c>
      <c r="O47" s="148">
        <v>0</v>
      </c>
      <c r="S47" t="s">
        <v>90</v>
      </c>
      <c r="T47" s="292">
        <f t="shared" si="2"/>
        <v>1</v>
      </c>
      <c r="V47">
        <v>0.53139999999999998</v>
      </c>
      <c r="W47">
        <v>1.17622</v>
      </c>
      <c r="X47" s="181">
        <f t="shared" si="3"/>
        <v>0.39839485810477632</v>
      </c>
    </row>
    <row r="48" spans="1:24">
      <c r="T48" s="291"/>
    </row>
    <row r="49" spans="1:24">
      <c r="T49" s="291"/>
    </row>
    <row r="50" spans="1:24">
      <c r="B50" s="57"/>
      <c r="T50" s="291"/>
    </row>
    <row r="51" spans="1:24">
      <c r="H51" t="s">
        <v>58</v>
      </c>
      <c r="T51" s="291"/>
    </row>
    <row r="52" spans="1:24">
      <c r="A52" s="218" t="s">
        <v>91</v>
      </c>
      <c r="H52">
        <v>1</v>
      </c>
      <c r="I52">
        <v>2</v>
      </c>
      <c r="J52">
        <v>3</v>
      </c>
      <c r="K52">
        <v>4</v>
      </c>
      <c r="L52">
        <v>5</v>
      </c>
      <c r="M52">
        <v>6</v>
      </c>
      <c r="N52">
        <v>7</v>
      </c>
      <c r="O52">
        <v>8</v>
      </c>
      <c r="T52" s="291"/>
      <c r="V52" s="1" t="s">
        <v>14</v>
      </c>
      <c r="W52" s="1" t="s">
        <v>15</v>
      </c>
    </row>
    <row r="53" spans="1:24">
      <c r="A53" s="219" t="s">
        <v>60</v>
      </c>
      <c r="B53" t="s">
        <v>92</v>
      </c>
      <c r="C53" s="57"/>
      <c r="F53" s="149" t="s">
        <v>62</v>
      </c>
      <c r="H53" s="148">
        <v>1</v>
      </c>
      <c r="O53" s="148">
        <v>-1</v>
      </c>
      <c r="S53" t="s">
        <v>63</v>
      </c>
      <c r="T53" s="292">
        <f>SUM(H53:O53)</f>
        <v>0</v>
      </c>
      <c r="V53">
        <v>0.38508997429305969</v>
      </c>
      <c r="W53">
        <v>1.4338227002055515</v>
      </c>
      <c r="X53" s="221">
        <f>(T53-V53)/W53</f>
        <v>-0.26857572713687233</v>
      </c>
    </row>
    <row r="54" spans="1:24">
      <c r="A54" s="219" t="s">
        <v>64</v>
      </c>
      <c r="B54" t="s">
        <v>93</v>
      </c>
      <c r="C54" s="57"/>
      <c r="F54" s="149" t="s">
        <v>62</v>
      </c>
      <c r="I54" s="148">
        <v>0</v>
      </c>
      <c r="N54" s="148">
        <v>0</v>
      </c>
      <c r="S54" t="s">
        <v>66</v>
      </c>
      <c r="T54" s="292">
        <f t="shared" ref="T54:T64" si="4">SUM(H54:O54)</f>
        <v>0</v>
      </c>
      <c r="V54">
        <v>-0.17377892030848316</v>
      </c>
      <c r="W54">
        <v>1.3358892795243213</v>
      </c>
      <c r="X54" s="221">
        <f t="shared" ref="X54:X64" si="5">(T54-V54)/W54</f>
        <v>0.13008482287571146</v>
      </c>
    </row>
    <row r="55" spans="1:24">
      <c r="A55" s="219" t="s">
        <v>67</v>
      </c>
      <c r="B55" t="s">
        <v>94</v>
      </c>
      <c r="C55" s="57"/>
      <c r="F55" s="149" t="s">
        <v>62</v>
      </c>
      <c r="H55" s="148">
        <v>0</v>
      </c>
      <c r="J55" s="148">
        <v>1</v>
      </c>
      <c r="O55" s="148">
        <v>0</v>
      </c>
      <c r="S55" t="s">
        <v>69</v>
      </c>
      <c r="T55" s="292">
        <f t="shared" si="4"/>
        <v>1</v>
      </c>
      <c r="V55">
        <v>0.24627249357326467</v>
      </c>
      <c r="W55">
        <v>1.2715297071163649</v>
      </c>
      <c r="X55" s="221">
        <f t="shared" si="5"/>
        <v>0.5927722350554232</v>
      </c>
    </row>
    <row r="56" spans="1:24">
      <c r="A56" s="219" t="s">
        <v>70</v>
      </c>
      <c r="B56" t="s">
        <v>95</v>
      </c>
      <c r="C56" s="57"/>
      <c r="F56" s="149" t="s">
        <v>62</v>
      </c>
      <c r="I56" s="148">
        <v>0</v>
      </c>
      <c r="K56" s="148">
        <v>0</v>
      </c>
      <c r="M56" s="148">
        <v>1</v>
      </c>
      <c r="N56" s="148">
        <v>0</v>
      </c>
      <c r="S56" t="s">
        <v>72</v>
      </c>
      <c r="T56" s="292">
        <f t="shared" si="4"/>
        <v>1</v>
      </c>
      <c r="V56">
        <v>-4.0102827763496107E-2</v>
      </c>
      <c r="W56">
        <v>0.99506807970518796</v>
      </c>
      <c r="X56" s="221">
        <f t="shared" si="5"/>
        <v>1.0452579566934261</v>
      </c>
    </row>
    <row r="57" spans="1:24">
      <c r="A57" s="219" t="s">
        <v>73</v>
      </c>
      <c r="B57" t="s">
        <v>96</v>
      </c>
      <c r="C57" s="57"/>
      <c r="F57" s="149" t="s">
        <v>62</v>
      </c>
      <c r="H57" s="148">
        <v>0</v>
      </c>
      <c r="J57" s="148">
        <v>0</v>
      </c>
      <c r="L57" s="148">
        <v>0</v>
      </c>
      <c r="S57" t="s">
        <v>75</v>
      </c>
      <c r="T57" s="292">
        <f t="shared" si="4"/>
        <v>0</v>
      </c>
      <c r="V57">
        <v>-0.59228791773778822</v>
      </c>
      <c r="W57">
        <v>1.43007171227387</v>
      </c>
      <c r="X57" s="221">
        <f t="shared" si="5"/>
        <v>0.41416658525188732</v>
      </c>
    </row>
    <row r="58" spans="1:24">
      <c r="A58" s="219" t="s">
        <v>76</v>
      </c>
      <c r="B58" t="s">
        <v>97</v>
      </c>
      <c r="C58" s="57"/>
      <c r="F58" s="149" t="s">
        <v>62</v>
      </c>
      <c r="I58" s="148">
        <v>1</v>
      </c>
      <c r="K58" s="148">
        <v>1</v>
      </c>
      <c r="S58" t="s">
        <v>78</v>
      </c>
      <c r="T58" s="292">
        <f t="shared" si="4"/>
        <v>2</v>
      </c>
      <c r="V58">
        <v>-0.148586118251928</v>
      </c>
      <c r="W58">
        <v>1.3444862657684977</v>
      </c>
      <c r="X58" s="221">
        <f t="shared" si="5"/>
        <v>1.5980721952736447</v>
      </c>
    </row>
    <row r="59" spans="1:24">
      <c r="A59" s="219" t="s">
        <v>79</v>
      </c>
      <c r="B59" t="s">
        <v>98</v>
      </c>
      <c r="C59" s="57"/>
      <c r="F59" s="149" t="s">
        <v>62</v>
      </c>
      <c r="H59" s="148">
        <v>-1</v>
      </c>
      <c r="J59" s="148">
        <v>0</v>
      </c>
      <c r="L59" s="148">
        <v>1</v>
      </c>
      <c r="S59" t="s">
        <v>81</v>
      </c>
      <c r="T59" s="292">
        <f t="shared" si="4"/>
        <v>0</v>
      </c>
      <c r="V59">
        <v>-2.1079691516709517E-2</v>
      </c>
      <c r="W59">
        <v>1.0398776569796573</v>
      </c>
      <c r="X59" s="221">
        <f t="shared" si="5"/>
        <v>2.0271318818346235E-2</v>
      </c>
    </row>
    <row r="60" spans="1:24">
      <c r="A60" s="219" t="s">
        <v>82</v>
      </c>
      <c r="B60" t="s">
        <v>99</v>
      </c>
      <c r="C60" s="57"/>
      <c r="F60" s="149" t="s">
        <v>62</v>
      </c>
      <c r="I60" s="148">
        <v>-1</v>
      </c>
      <c r="K60" s="148">
        <v>-1</v>
      </c>
      <c r="M60" s="148">
        <v>0</v>
      </c>
      <c r="S60" t="s">
        <v>84</v>
      </c>
      <c r="T60" s="292">
        <f t="shared" si="4"/>
        <v>-2</v>
      </c>
      <c r="V60">
        <v>0.47455012853470385</v>
      </c>
      <c r="W60">
        <v>1.1774174482351945</v>
      </c>
      <c r="X60" s="221">
        <f t="shared" si="5"/>
        <v>-2.1016761151652319</v>
      </c>
    </row>
    <row r="61" spans="1:24">
      <c r="A61" s="219" t="s">
        <v>85</v>
      </c>
      <c r="B61" t="s">
        <v>100</v>
      </c>
      <c r="C61" s="57"/>
      <c r="F61" s="149" t="s">
        <v>62</v>
      </c>
      <c r="J61" s="148">
        <v>-1</v>
      </c>
      <c r="L61" s="148">
        <v>-1</v>
      </c>
      <c r="N61" s="148">
        <v>-1</v>
      </c>
      <c r="S61" t="s">
        <v>87</v>
      </c>
      <c r="T61" s="292">
        <f t="shared" si="4"/>
        <v>-3</v>
      </c>
      <c r="V61">
        <v>-0.37737789203084782</v>
      </c>
      <c r="W61">
        <v>1.0621152479958968</v>
      </c>
      <c r="X61" s="221">
        <f t="shared" si="5"/>
        <v>-2.4692443808878299</v>
      </c>
    </row>
    <row r="62" spans="1:24">
      <c r="A62" s="219" t="s">
        <v>88</v>
      </c>
      <c r="B62" t="s">
        <v>101</v>
      </c>
      <c r="C62" s="57"/>
      <c r="F62" s="149" t="s">
        <v>62</v>
      </c>
      <c r="K62" s="148">
        <v>0</v>
      </c>
      <c r="M62" s="148">
        <v>-1</v>
      </c>
      <c r="O62" s="148">
        <v>1</v>
      </c>
      <c r="S62" t="s">
        <v>90</v>
      </c>
      <c r="T62" s="292">
        <f t="shared" si="4"/>
        <v>0</v>
      </c>
      <c r="V62">
        <v>0.74447300771208169</v>
      </c>
      <c r="W62">
        <v>1.1967039534823549</v>
      </c>
      <c r="X62" s="221">
        <f t="shared" si="5"/>
        <v>-0.62210290652562694</v>
      </c>
    </row>
    <row r="63" spans="1:24">
      <c r="A63" s="219" t="s">
        <v>102</v>
      </c>
      <c r="B63" t="s">
        <v>103</v>
      </c>
      <c r="F63" s="149" t="s">
        <v>62</v>
      </c>
      <c r="L63" s="148">
        <v>0</v>
      </c>
      <c r="N63" s="148">
        <v>1</v>
      </c>
      <c r="S63" t="s">
        <v>104</v>
      </c>
      <c r="T63" s="292">
        <f t="shared" si="4"/>
        <v>1</v>
      </c>
      <c r="V63">
        <v>-0.403084832904885</v>
      </c>
      <c r="W63">
        <v>1.2314428059234355</v>
      </c>
      <c r="X63" s="221">
        <f t="shared" si="5"/>
        <v>1.139382865493894</v>
      </c>
    </row>
    <row r="64" spans="1:24">
      <c r="A64" s="219" t="s">
        <v>105</v>
      </c>
      <c r="B64" t="s">
        <v>106</v>
      </c>
      <c r="F64" s="149" t="s">
        <v>62</v>
      </c>
      <c r="M64" s="148">
        <v>0</v>
      </c>
      <c r="O64" s="148">
        <v>0</v>
      </c>
      <c r="S64" t="s">
        <v>107</v>
      </c>
      <c r="T64" s="292">
        <f t="shared" si="4"/>
        <v>0</v>
      </c>
      <c r="V64">
        <v>0.53264781491002311</v>
      </c>
      <c r="W64">
        <v>1.1963113884539662</v>
      </c>
      <c r="X64" s="221">
        <f t="shared" si="5"/>
        <v>-0.44524178240782442</v>
      </c>
    </row>
    <row r="65" spans="1:27">
      <c r="A65">
        <v>1</v>
      </c>
      <c r="B65" s="57" t="s">
        <v>108</v>
      </c>
      <c r="F65" s="149"/>
      <c r="T65" s="291"/>
    </row>
    <row r="66" spans="1:27">
      <c r="A66">
        <v>-1</v>
      </c>
      <c r="B66" s="57" t="s">
        <v>109</v>
      </c>
      <c r="T66" s="291"/>
    </row>
    <row r="67" spans="1:27">
      <c r="A67">
        <v>0</v>
      </c>
      <c r="B67" s="57" t="s">
        <v>110</v>
      </c>
      <c r="T67" s="291"/>
    </row>
    <row r="68" spans="1:27" ht="23.25" thickBot="1">
      <c r="A68" s="296" t="s">
        <v>111</v>
      </c>
      <c r="L68" s="91"/>
      <c r="T68" s="291"/>
      <c r="V68" s="1"/>
      <c r="W68" s="1"/>
    </row>
    <row r="69" spans="1:27" ht="15.75" thickTop="1" thickBot="1">
      <c r="B69" s="251" t="s">
        <v>112</v>
      </c>
      <c r="C69" s="252" t="s">
        <v>113</v>
      </c>
      <c r="D69" s="253" t="s">
        <v>114</v>
      </c>
      <c r="E69" s="254" t="s">
        <v>115</v>
      </c>
      <c r="F69" s="254"/>
      <c r="G69" s="254"/>
      <c r="H69" s="254"/>
      <c r="I69" s="254"/>
      <c r="J69" s="254"/>
      <c r="K69" s="254"/>
      <c r="L69" s="255"/>
      <c r="M69" s="254"/>
      <c r="N69" s="255"/>
      <c r="O69" s="255"/>
      <c r="P69" s="255"/>
      <c r="Q69" s="256"/>
      <c r="R69" s="255"/>
      <c r="S69" s="257" t="str">
        <f ca="1">_xlfn.FORMULATEXT(T69)</f>
        <v>=X21</v>
      </c>
      <c r="T69" s="293">
        <f>X21</f>
        <v>-1.2071102749156046</v>
      </c>
      <c r="X69" s="182">
        <f>T69</f>
        <v>-1.2071102749156046</v>
      </c>
    </row>
    <row r="70" spans="1:27">
      <c r="B70" s="242"/>
      <c r="C70" s="97"/>
      <c r="D70" s="104"/>
      <c r="E70" s="315"/>
      <c r="F70" s="94"/>
      <c r="G70" s="94"/>
      <c r="H70" s="94"/>
      <c r="I70" s="94"/>
      <c r="J70" s="94"/>
      <c r="K70" s="94"/>
      <c r="M70" s="94"/>
      <c r="Q70" s="95"/>
      <c r="S70" s="243"/>
      <c r="T70" s="291"/>
    </row>
    <row r="71" spans="1:27">
      <c r="B71" s="242" t="s">
        <v>116</v>
      </c>
      <c r="C71" s="97" t="s">
        <v>20</v>
      </c>
      <c r="D71" s="104" t="s">
        <v>117</v>
      </c>
      <c r="E71" s="94"/>
      <c r="F71" s="94"/>
      <c r="G71" s="94"/>
      <c r="H71" s="94"/>
      <c r="I71" s="94"/>
      <c r="J71" s="94"/>
      <c r="K71" s="94"/>
      <c r="M71" s="94"/>
      <c r="O71" s="95" t="s">
        <v>118</v>
      </c>
      <c r="S71" s="243" t="str">
        <f ca="1">_xlfn.FORMULATEXT(T71)</f>
        <v>=X7</v>
      </c>
      <c r="T71" s="294">
        <f>X7</f>
        <v>-0.34369016396080387</v>
      </c>
      <c r="U71" s="282" t="s">
        <v>119</v>
      </c>
      <c r="X71" s="182">
        <f>AVERAGE(T71:T73)</f>
        <v>0.43854757190369487</v>
      </c>
    </row>
    <row r="72" spans="1:27">
      <c r="B72" s="242"/>
      <c r="C72" s="97" t="s">
        <v>120</v>
      </c>
      <c r="D72" s="104" t="s">
        <v>117</v>
      </c>
      <c r="E72" s="94" t="s">
        <v>21</v>
      </c>
      <c r="F72" s="94"/>
      <c r="G72" s="94"/>
      <c r="H72" s="94"/>
      <c r="I72" s="94"/>
      <c r="J72" s="94"/>
      <c r="K72" s="94"/>
      <c r="M72" s="94"/>
      <c r="O72" s="95" t="s">
        <v>121</v>
      </c>
      <c r="S72" s="243" t="str">
        <f ca="1">_xlfn.FORMULATEXT(T72)</f>
        <v>=X8</v>
      </c>
      <c r="T72" s="294">
        <f t="shared" ref="T72:T73" si="6">X8</f>
        <v>0.71127687330111322</v>
      </c>
      <c r="U72" s="283"/>
    </row>
    <row r="73" spans="1:27">
      <c r="B73" s="242"/>
      <c r="C73" s="97" t="s">
        <v>22</v>
      </c>
      <c r="D73" s="104" t="s">
        <v>117</v>
      </c>
      <c r="E73" s="94" t="s">
        <v>122</v>
      </c>
      <c r="F73" s="94"/>
      <c r="G73" s="94"/>
      <c r="H73" s="94"/>
      <c r="I73" s="94"/>
      <c r="J73" s="94"/>
      <c r="K73" s="94"/>
      <c r="M73" s="94"/>
      <c r="O73" s="95" t="s">
        <v>123</v>
      </c>
      <c r="S73" s="243" t="str">
        <f ca="1">_xlfn.FORMULATEXT(T73)</f>
        <v>=X9</v>
      </c>
      <c r="T73" s="294">
        <f t="shared" si="6"/>
        <v>0.94805600637077525</v>
      </c>
      <c r="U73" s="284"/>
    </row>
    <row r="74" spans="1:27">
      <c r="B74" s="242"/>
      <c r="C74" s="97"/>
      <c r="D74" s="104"/>
      <c r="E74" s="94" t="s">
        <v>23</v>
      </c>
      <c r="F74" s="94"/>
      <c r="G74" s="94"/>
      <c r="H74" s="94"/>
      <c r="I74" s="94"/>
      <c r="J74" s="94"/>
      <c r="K74" s="94"/>
      <c r="M74" s="94"/>
      <c r="Q74" s="95"/>
      <c r="S74" s="243"/>
      <c r="T74" s="291"/>
    </row>
    <row r="75" spans="1:27">
      <c r="B75" s="242" t="s">
        <v>124</v>
      </c>
      <c r="C75" s="97" t="s">
        <v>30</v>
      </c>
      <c r="D75" s="104" t="s">
        <v>125</v>
      </c>
      <c r="E75" s="94"/>
      <c r="F75" s="94"/>
      <c r="G75" s="94"/>
      <c r="H75" s="94"/>
      <c r="I75" s="94"/>
      <c r="J75" s="94"/>
      <c r="K75" s="94"/>
      <c r="M75" s="94"/>
      <c r="Q75" s="95"/>
      <c r="S75" s="243" t="str">
        <f ca="1">_xlfn.FORMULATEXT(T75)</f>
        <v>=X15</v>
      </c>
      <c r="T75" s="293">
        <f>X15</f>
        <v>-1.5649830181036366</v>
      </c>
      <c r="X75" s="182">
        <f>T75</f>
        <v>-1.5649830181036366</v>
      </c>
    </row>
    <row r="76" spans="1:27">
      <c r="B76" s="242"/>
      <c r="C76" s="97"/>
      <c r="D76" s="104"/>
      <c r="E76" s="94" t="s">
        <v>31</v>
      </c>
      <c r="F76" s="94"/>
      <c r="G76" s="94"/>
      <c r="H76" s="94"/>
      <c r="I76" s="94"/>
      <c r="J76" s="94"/>
      <c r="K76" s="94"/>
      <c r="M76" s="94"/>
      <c r="Q76" s="95"/>
      <c r="S76" s="243"/>
      <c r="T76" s="291"/>
    </row>
    <row r="77" spans="1:27">
      <c r="B77" s="244" t="s">
        <v>126</v>
      </c>
      <c r="C77" s="245" t="s">
        <v>32</v>
      </c>
      <c r="D77" s="246" t="s">
        <v>127</v>
      </c>
      <c r="E77" s="94"/>
      <c r="F77" s="247"/>
      <c r="G77" s="247"/>
      <c r="H77" s="247"/>
      <c r="I77" s="247"/>
      <c r="J77" s="247"/>
      <c r="K77" s="247"/>
      <c r="L77" s="248"/>
      <c r="M77" s="247"/>
      <c r="N77" s="248"/>
      <c r="O77" s="248"/>
      <c r="P77" s="248"/>
      <c r="Q77" s="249"/>
      <c r="R77" s="248"/>
      <c r="S77" s="250" t="str">
        <f ca="1">_xlfn.FORMULATEXT(T77)</f>
        <v>=X16</v>
      </c>
      <c r="T77" s="293">
        <f>X16</f>
        <v>-2.5760780166842911</v>
      </c>
      <c r="X77" s="182">
        <f>T77</f>
        <v>-2.5760780166842911</v>
      </c>
    </row>
    <row r="78" spans="1:27">
      <c r="B78" s="233"/>
      <c r="C78" s="97"/>
      <c r="D78" s="104"/>
      <c r="E78" s="247" t="s">
        <v>33</v>
      </c>
      <c r="F78" s="109"/>
      <c r="G78" s="109"/>
      <c r="H78" s="109"/>
      <c r="I78" s="109"/>
      <c r="J78" s="109"/>
      <c r="K78" s="109"/>
      <c r="M78" s="109"/>
      <c r="Q78" s="95"/>
      <c r="S78" s="198"/>
      <c r="T78" s="295"/>
      <c r="U78" s="198"/>
      <c r="V78" s="198"/>
      <c r="W78" s="198"/>
      <c r="X78" s="198"/>
      <c r="Z78" s="198"/>
      <c r="AA78" s="198"/>
    </row>
    <row r="79" spans="1:27">
      <c r="E79" s="109"/>
      <c r="S79" s="198"/>
      <c r="T79" s="291"/>
    </row>
    <row r="80" spans="1:27">
      <c r="B80" s="258" t="s">
        <v>128</v>
      </c>
      <c r="C80" s="259"/>
      <c r="D80" s="260"/>
      <c r="F80" s="261"/>
      <c r="G80" s="261"/>
      <c r="H80" s="261"/>
      <c r="I80" s="261"/>
      <c r="J80" s="261"/>
      <c r="K80" s="261"/>
      <c r="L80" s="262"/>
      <c r="M80" s="261"/>
      <c r="N80" s="262"/>
      <c r="O80" s="262"/>
      <c r="P80" s="262"/>
      <c r="Q80" s="263"/>
      <c r="R80" s="262"/>
      <c r="S80" s="264"/>
      <c r="T80" s="291"/>
    </row>
    <row r="81" spans="1:27">
      <c r="B81" s="265" t="s">
        <v>129</v>
      </c>
      <c r="C81" s="97" t="s">
        <v>130</v>
      </c>
      <c r="D81" s="104" t="s">
        <v>131</v>
      </c>
      <c r="E81" s="261"/>
      <c r="F81" s="94"/>
      <c r="G81" s="94"/>
      <c r="H81" s="94"/>
      <c r="I81" s="94"/>
      <c r="J81" s="94"/>
      <c r="K81" s="94"/>
      <c r="M81" s="94"/>
      <c r="Q81" s="95"/>
      <c r="S81" s="250" t="str">
        <f ca="1">_xlfn.FORMULATEXT(T81)</f>
        <v>=X28</v>
      </c>
      <c r="T81" s="294">
        <f>X28</f>
        <v>1.6213397180227216</v>
      </c>
      <c r="U81" s="282" t="s">
        <v>119</v>
      </c>
      <c r="X81" s="278">
        <f>AVERAGE(T81:T83)</f>
        <v>0.50525063613578924</v>
      </c>
    </row>
    <row r="82" spans="1:27">
      <c r="B82" s="265"/>
      <c r="C82" s="97" t="s">
        <v>132</v>
      </c>
      <c r="D82" s="104" t="s">
        <v>131</v>
      </c>
      <c r="E82" s="94" t="s">
        <v>49</v>
      </c>
      <c r="F82" s="94"/>
      <c r="G82" s="94"/>
      <c r="H82" s="94"/>
      <c r="I82" s="94"/>
      <c r="J82" s="94"/>
      <c r="K82" s="94"/>
      <c r="M82" s="94"/>
      <c r="Q82" s="95"/>
      <c r="S82" s="250" t="str">
        <f t="shared" ref="S82:S90" ca="1" si="7">_xlfn.FORMULATEXT(T82)</f>
        <v>=X29</v>
      </c>
      <c r="T82" s="294">
        <f>X29</f>
        <v>-0.36605480885791697</v>
      </c>
      <c r="U82" s="283"/>
    </row>
    <row r="83" spans="1:27">
      <c r="B83" s="265"/>
      <c r="C83" s="97" t="s">
        <v>133</v>
      </c>
      <c r="D83" s="104" t="s">
        <v>131</v>
      </c>
      <c r="E83" s="94" t="s">
        <v>51</v>
      </c>
      <c r="F83" s="94"/>
      <c r="G83" s="94"/>
      <c r="H83" s="94"/>
      <c r="I83" s="94"/>
      <c r="J83" s="94"/>
      <c r="K83" s="94"/>
      <c r="M83" s="94"/>
      <c r="Q83" s="95"/>
      <c r="S83" s="250" t="str">
        <f t="shared" ca="1" si="7"/>
        <v>=X30</v>
      </c>
      <c r="T83" s="294">
        <f>X30</f>
        <v>0.26046699924256295</v>
      </c>
      <c r="U83" s="284"/>
    </row>
    <row r="84" spans="1:27">
      <c r="B84" s="266" t="s">
        <v>134</v>
      </c>
      <c r="C84" s="97"/>
      <c r="D84" s="104"/>
      <c r="E84" s="94" t="s">
        <v>53</v>
      </c>
      <c r="F84" s="94"/>
      <c r="G84" s="94"/>
      <c r="H84" s="94"/>
      <c r="I84" s="94"/>
      <c r="J84" s="94"/>
      <c r="K84" s="94"/>
      <c r="M84" s="94"/>
      <c r="O84" s="95"/>
      <c r="S84" s="250"/>
      <c r="T84" s="291"/>
      <c r="U84" s="290"/>
    </row>
    <row r="85" spans="1:27">
      <c r="B85" s="265" t="s">
        <v>135</v>
      </c>
      <c r="C85" s="97" t="s">
        <v>54</v>
      </c>
      <c r="D85" s="104" t="s">
        <v>131</v>
      </c>
      <c r="E85" s="94"/>
      <c r="F85" s="94"/>
      <c r="G85" s="94"/>
      <c r="H85" s="94"/>
      <c r="I85" s="94"/>
      <c r="J85" s="94"/>
      <c r="K85" s="94"/>
      <c r="M85" s="94"/>
      <c r="O85" s="95"/>
      <c r="S85" s="250" t="str">
        <f t="shared" ca="1" si="7"/>
        <v>=X31</v>
      </c>
      <c r="T85" s="294">
        <f>X31</f>
        <v>0.25510005828638038</v>
      </c>
      <c r="X85" s="278">
        <f>AVERAGE(T85:T86)</f>
        <v>-0.19375564056380257</v>
      </c>
    </row>
    <row r="86" spans="1:27">
      <c r="B86" s="265"/>
      <c r="C86" s="97" t="s">
        <v>56</v>
      </c>
      <c r="D86" s="104" t="s">
        <v>131</v>
      </c>
      <c r="E86" s="94" t="s">
        <v>136</v>
      </c>
      <c r="F86" s="94"/>
      <c r="G86" s="94"/>
      <c r="H86" s="94"/>
      <c r="I86" s="94"/>
      <c r="J86" s="94"/>
      <c r="K86" s="94"/>
      <c r="M86" s="94"/>
      <c r="O86" s="95"/>
      <c r="S86" s="250" t="str">
        <f t="shared" ca="1" si="7"/>
        <v>=X32</v>
      </c>
      <c r="T86" s="294">
        <f>X32</f>
        <v>-0.64261133941398552</v>
      </c>
      <c r="U86" s="282" t="s">
        <v>119</v>
      </c>
    </row>
    <row r="87" spans="1:27">
      <c r="B87" s="266" t="s">
        <v>137</v>
      </c>
      <c r="C87" s="97"/>
      <c r="D87" s="104"/>
      <c r="E87" s="94" t="s">
        <v>138</v>
      </c>
      <c r="F87" s="94"/>
      <c r="G87" s="94"/>
      <c r="H87" s="94"/>
      <c r="I87" s="94"/>
      <c r="J87" s="94"/>
      <c r="K87" s="94"/>
      <c r="M87" s="94"/>
      <c r="O87" s="95"/>
      <c r="S87" s="250"/>
      <c r="T87" s="291"/>
      <c r="U87" s="284"/>
    </row>
    <row r="88" spans="1:27">
      <c r="B88" s="265" t="s">
        <v>139</v>
      </c>
      <c r="C88" s="97"/>
      <c r="D88" s="104"/>
      <c r="E88" s="94"/>
      <c r="F88" s="94"/>
      <c r="G88" s="94"/>
      <c r="H88" s="94"/>
      <c r="I88" s="94"/>
      <c r="J88" s="94"/>
      <c r="K88" s="94"/>
      <c r="M88" s="94"/>
      <c r="Q88" s="95"/>
      <c r="S88" s="250" t="str">
        <f t="shared" ca="1" si="7"/>
        <v>=X17</v>
      </c>
      <c r="T88" s="293">
        <f>X17</f>
        <v>-2.8394954100447229</v>
      </c>
      <c r="X88" s="278">
        <f>T88</f>
        <v>-2.8394954100447229</v>
      </c>
    </row>
    <row r="89" spans="1:27">
      <c r="B89" s="266" t="s">
        <v>140</v>
      </c>
      <c r="C89" s="97"/>
      <c r="D89" s="104"/>
      <c r="E89" s="94"/>
      <c r="F89" s="94"/>
      <c r="G89" s="94"/>
      <c r="H89" s="94"/>
      <c r="I89" s="94"/>
      <c r="J89" s="94"/>
      <c r="K89" s="94"/>
      <c r="M89" s="94"/>
      <c r="Q89" s="95"/>
      <c r="S89" s="250"/>
      <c r="T89" s="291"/>
    </row>
    <row r="90" spans="1:27">
      <c r="B90" s="265" t="s">
        <v>141</v>
      </c>
      <c r="C90" s="97"/>
      <c r="D90" s="104"/>
      <c r="E90" s="94"/>
      <c r="F90" s="94"/>
      <c r="G90" s="94"/>
      <c r="H90" s="94"/>
      <c r="I90" s="94"/>
      <c r="J90" s="94"/>
      <c r="K90" s="94"/>
      <c r="M90" s="94"/>
      <c r="Q90" s="95"/>
      <c r="S90" s="250" t="str">
        <f t="shared" ca="1" si="7"/>
        <v>=X22</v>
      </c>
      <c r="T90" s="293">
        <f>X22</f>
        <v>-1.1926429215465042</v>
      </c>
      <c r="X90" s="278">
        <f>T90</f>
        <v>-1.1926429215465042</v>
      </c>
    </row>
    <row r="91" spans="1:27">
      <c r="B91" s="267" t="s">
        <v>142</v>
      </c>
      <c r="C91" s="268"/>
      <c r="D91" s="269"/>
      <c r="E91" s="94"/>
      <c r="F91" s="270"/>
      <c r="G91" s="270"/>
      <c r="H91" s="270"/>
      <c r="I91" s="270"/>
      <c r="J91" s="270"/>
      <c r="K91" s="270"/>
      <c r="L91" s="271"/>
      <c r="M91" s="270"/>
      <c r="N91" s="271"/>
      <c r="O91" s="271"/>
      <c r="P91" s="271"/>
      <c r="Q91" s="272"/>
      <c r="R91" s="271"/>
      <c r="S91" s="273"/>
      <c r="T91" s="291"/>
    </row>
    <row r="92" spans="1:27">
      <c r="E92" s="270"/>
      <c r="S92" s="198"/>
    </row>
    <row r="93" spans="1:27">
      <c r="S93" s="198"/>
    </row>
    <row r="94" spans="1:27" ht="22.5">
      <c r="A94" s="296" t="s">
        <v>143</v>
      </c>
      <c r="S94" s="198"/>
    </row>
    <row r="95" spans="1:27">
      <c r="S95" s="198"/>
    </row>
    <row r="96" spans="1:27" ht="27.75">
      <c r="B96" s="185" t="s">
        <v>144</v>
      </c>
      <c r="C96" s="186"/>
      <c r="D96" s="186"/>
      <c r="F96" s="186"/>
      <c r="G96" s="186"/>
      <c r="H96" s="186"/>
      <c r="I96" s="186"/>
      <c r="J96" s="186"/>
      <c r="K96" s="186"/>
      <c r="L96" s="304" t="s">
        <v>145</v>
      </c>
      <c r="M96" s="304"/>
      <c r="N96" s="304"/>
      <c r="O96" s="304"/>
      <c r="P96" s="304"/>
      <c r="Q96" s="305"/>
      <c r="S96" s="198"/>
      <c r="U96" s="163"/>
      <c r="V96" s="163"/>
      <c r="W96" s="163"/>
      <c r="X96" s="163"/>
      <c r="Z96" s="163"/>
      <c r="AA96" s="162"/>
    </row>
    <row r="97" spans="2:27">
      <c r="B97" s="187"/>
      <c r="C97" s="183"/>
      <c r="D97" s="183"/>
      <c r="E97" s="186"/>
      <c r="F97" s="183"/>
      <c r="G97" s="183"/>
      <c r="H97" s="183"/>
      <c r="I97" s="183"/>
      <c r="J97" s="183"/>
      <c r="K97" s="183"/>
      <c r="L97" s="184" t="s">
        <v>146</v>
      </c>
      <c r="M97" s="184" t="s">
        <v>147</v>
      </c>
      <c r="N97" s="184" t="s">
        <v>148</v>
      </c>
      <c r="O97" s="184" t="s">
        <v>149</v>
      </c>
      <c r="P97" s="184" t="s">
        <v>150</v>
      </c>
      <c r="Q97" s="188" t="s">
        <v>151</v>
      </c>
      <c r="S97" s="198"/>
      <c r="U97" s="16" t="s">
        <v>146</v>
      </c>
      <c r="V97" s="16" t="s">
        <v>147</v>
      </c>
      <c r="W97" s="16" t="s">
        <v>148</v>
      </c>
      <c r="X97" s="16" t="s">
        <v>149</v>
      </c>
      <c r="Y97" s="16" t="s">
        <v>150</v>
      </c>
      <c r="Z97" s="16" t="s">
        <v>151</v>
      </c>
      <c r="AA97" s="162"/>
    </row>
    <row r="98" spans="2:27">
      <c r="B98" s="187" t="s">
        <v>152</v>
      </c>
      <c r="C98" s="189" t="s">
        <v>61</v>
      </c>
      <c r="D98" s="183"/>
      <c r="E98" s="183"/>
      <c r="F98" s="183"/>
      <c r="G98" s="183"/>
      <c r="H98" s="183"/>
      <c r="I98" s="183"/>
      <c r="J98" s="183"/>
      <c r="K98" s="183"/>
      <c r="L98" s="183">
        <v>-0.61955610000000005</v>
      </c>
      <c r="M98" s="183">
        <v>-0.18914420000000001</v>
      </c>
      <c r="N98" s="183">
        <v>-0.20569580000000001</v>
      </c>
      <c r="O98" s="183">
        <v>0.27581329999999998</v>
      </c>
      <c r="P98" s="183">
        <v>1.1020487999999999</v>
      </c>
      <c r="Q98" s="190">
        <v>-0.43911410000000001</v>
      </c>
      <c r="S98" s="198" t="str">
        <f t="shared" ref="S98:S111" ca="1" si="8">_xlfn.FORMULATEXT(T98)</f>
        <v>=X38</v>
      </c>
      <c r="T98" s="196">
        <f t="shared" ref="T98:T107" si="9">X38</f>
        <v>2.4291878624730305</v>
      </c>
      <c r="U98" s="4">
        <f t="shared" ref="U98:U111" si="10">($T98-L98)^2</f>
        <v>9.2948397487157557</v>
      </c>
      <c r="V98" s="4">
        <f t="shared" ref="V98:V111" si="11">($T98-M98)^2</f>
        <v>6.8556627893742732</v>
      </c>
      <c r="W98" s="4">
        <f t="shared" ref="W98:W111" si="12">($T98-N98)^2</f>
        <v>6.9426119147672907</v>
      </c>
      <c r="X98" s="4">
        <f t="shared" ref="X98:X111" si="13">($T98-O98)^2</f>
        <v>4.6370220063059167</v>
      </c>
      <c r="Y98" s="4">
        <f t="shared" ref="Y98:Y111" si="14">($T98-P98)^2</f>
        <v>1.7612980911417946</v>
      </c>
      <c r="Z98" s="4">
        <f t="shared" ref="Z98:Z111" si="15">($T98-Q98)^2</f>
        <v>8.2271561479266371</v>
      </c>
      <c r="AA98" s="197" t="str">
        <f ca="1">_xlfn.FORMULATEXT(Z98)</f>
        <v>=($T98-Q98)^2</v>
      </c>
    </row>
    <row r="99" spans="2:27">
      <c r="B99" s="187" t="s">
        <v>153</v>
      </c>
      <c r="C99" s="189" t="s">
        <v>65</v>
      </c>
      <c r="D99" s="183"/>
      <c r="E99" s="183"/>
      <c r="F99" s="183"/>
      <c r="G99" s="183"/>
      <c r="H99" s="183"/>
      <c r="I99" s="183"/>
      <c r="J99" s="183"/>
      <c r="K99" s="183"/>
      <c r="L99" s="183">
        <v>-0.10326780000000001</v>
      </c>
      <c r="M99" s="183">
        <v>-0.64100460000000004</v>
      </c>
      <c r="N99" s="183">
        <v>-0.56009260000000005</v>
      </c>
      <c r="O99" s="183">
        <v>0.21961130000000001</v>
      </c>
      <c r="P99" s="183">
        <v>0.5993271</v>
      </c>
      <c r="Q99" s="190">
        <v>0.36702659999999998</v>
      </c>
      <c r="S99" s="198" t="str">
        <f t="shared" ca="1" si="8"/>
        <v>=X39</v>
      </c>
      <c r="T99" s="196">
        <f t="shared" si="9"/>
        <v>0.21232591109999163</v>
      </c>
      <c r="U99" s="4">
        <f t="shared" si="10"/>
        <v>9.9599390485864983E-2</v>
      </c>
      <c r="V99" s="4">
        <f t="shared" si="11"/>
        <v>0.72817296117417307</v>
      </c>
      <c r="W99" s="4">
        <f t="shared" si="12"/>
        <v>0.596630356289928</v>
      </c>
      <c r="X99" s="4">
        <f t="shared" si="13"/>
        <v>5.307689142436527E-5</v>
      </c>
      <c r="Y99" s="4">
        <f t="shared" si="14"/>
        <v>0.14976992021001995</v>
      </c>
      <c r="Z99" s="4">
        <f t="shared" si="15"/>
        <v>2.3932303146137167E-2</v>
      </c>
    </row>
    <row r="100" spans="2:27">
      <c r="B100" s="187" t="s">
        <v>154</v>
      </c>
      <c r="C100" s="189" t="s">
        <v>68</v>
      </c>
      <c r="D100" s="183"/>
      <c r="E100" s="183"/>
      <c r="F100" s="183"/>
      <c r="G100" s="183"/>
      <c r="H100" s="183"/>
      <c r="I100" s="183"/>
      <c r="J100" s="183"/>
      <c r="K100" s="183"/>
      <c r="L100" s="183">
        <v>-0.37433450000000001</v>
      </c>
      <c r="M100" s="183">
        <v>-0.64428399999999997</v>
      </c>
      <c r="N100" s="183">
        <v>-0.42174790000000001</v>
      </c>
      <c r="O100" s="183">
        <v>0.94298340000000003</v>
      </c>
      <c r="P100" s="183">
        <v>0.23985090000000001</v>
      </c>
      <c r="Q100" s="190">
        <v>-0.35583019999999999</v>
      </c>
      <c r="S100" s="198" t="str">
        <f t="shared" ca="1" si="8"/>
        <v>=X40</v>
      </c>
      <c r="T100" s="196">
        <f t="shared" si="9"/>
        <v>1.5789301702447469</v>
      </c>
      <c r="U100" s="4">
        <f t="shared" si="10"/>
        <v>3.8152428720263201</v>
      </c>
      <c r="V100" s="4">
        <f t="shared" si="11"/>
        <v>4.9426812467770382</v>
      </c>
      <c r="W100" s="4">
        <f t="shared" si="12"/>
        <v>4.0027127407582448</v>
      </c>
      <c r="X100" s="4">
        <f t="shared" si="13"/>
        <v>0.4044282945847249</v>
      </c>
      <c r="Y100" s="4">
        <f t="shared" si="14"/>
        <v>1.793133291999204</v>
      </c>
      <c r="Z100" s="4">
        <f t="shared" si="15"/>
        <v>3.74329769026959</v>
      </c>
    </row>
    <row r="101" spans="2:27">
      <c r="B101" s="187" t="s">
        <v>155</v>
      </c>
      <c r="C101" s="189" t="s">
        <v>71</v>
      </c>
      <c r="D101" s="183"/>
      <c r="E101" s="183"/>
      <c r="F101" s="183"/>
      <c r="G101" s="183"/>
      <c r="H101" s="183"/>
      <c r="I101" s="183"/>
      <c r="J101" s="183"/>
      <c r="K101" s="183"/>
      <c r="L101" s="183">
        <v>0.31059750000000003</v>
      </c>
      <c r="M101" s="183">
        <v>-0.51697919999999997</v>
      </c>
      <c r="N101" s="183">
        <v>0.53883669999999995</v>
      </c>
      <c r="O101" s="183">
        <v>0.44203900000000002</v>
      </c>
      <c r="P101" s="183">
        <v>-4.1602500000000001E-2</v>
      </c>
      <c r="Q101" s="190">
        <v>-0.52379039999999999</v>
      </c>
      <c r="S101" s="198" t="str">
        <f t="shared" ca="1" si="8"/>
        <v>=X41</v>
      </c>
      <c r="T101" s="196">
        <f t="shared" si="9"/>
        <v>-0.9175560110255141</v>
      </c>
      <c r="U101" s="4">
        <f t="shared" si="10"/>
        <v>1.5083610466442978</v>
      </c>
      <c r="V101" s="4">
        <f t="shared" si="11"/>
        <v>0.16046178153137045</v>
      </c>
      <c r="W101" s="4">
        <f t="shared" si="12"/>
        <v>2.1210797287282466</v>
      </c>
      <c r="X101" s="4">
        <f t="shared" si="13"/>
        <v>1.8484985940054679</v>
      </c>
      <c r="Y101" s="4">
        <f t="shared" si="14"/>
        <v>0.76729455347792552</v>
      </c>
      <c r="Z101" s="4">
        <f t="shared" si="15"/>
        <v>0.15505135642629647</v>
      </c>
    </row>
    <row r="102" spans="2:27">
      <c r="B102" s="187" t="s">
        <v>156</v>
      </c>
      <c r="C102" s="189" t="s">
        <v>74</v>
      </c>
      <c r="D102" s="183"/>
      <c r="E102" s="183"/>
      <c r="F102" s="183"/>
      <c r="G102" s="183"/>
      <c r="H102" s="183"/>
      <c r="I102" s="183"/>
      <c r="J102" s="183"/>
      <c r="K102" s="183"/>
      <c r="L102" s="183">
        <v>0.65947160000000005</v>
      </c>
      <c r="M102" s="183">
        <v>0.2388004</v>
      </c>
      <c r="N102" s="183">
        <v>0.28749930000000001</v>
      </c>
      <c r="O102" s="183">
        <v>0.33139420000000003</v>
      </c>
      <c r="P102" s="183">
        <v>-1.4513895999999999</v>
      </c>
      <c r="Q102" s="190">
        <v>0.3404199</v>
      </c>
      <c r="S102" s="198" t="str">
        <f t="shared" ca="1" si="8"/>
        <v>=X42</v>
      </c>
      <c r="T102" s="196">
        <f t="shared" si="9"/>
        <v>-2.2567967414791337</v>
      </c>
      <c r="U102" s="4">
        <f t="shared" si="10"/>
        <v>8.5046210395134558</v>
      </c>
      <c r="V102" s="4">
        <f t="shared" si="11"/>
        <v>6.2280050925588242</v>
      </c>
      <c r="W102" s="4">
        <f t="shared" si="12"/>
        <v>6.4734423466863893</v>
      </c>
      <c r="X102" s="4">
        <f t="shared" si="13"/>
        <v>6.6987323495546445</v>
      </c>
      <c r="Y102" s="4">
        <f t="shared" si="14"/>
        <v>0.64868066354558929</v>
      </c>
      <c r="Z102" s="4">
        <f t="shared" si="15"/>
        <v>6.7455342827761511</v>
      </c>
    </row>
    <row r="103" spans="2:27">
      <c r="B103" s="187" t="s">
        <v>157</v>
      </c>
      <c r="C103" s="189" t="s">
        <v>77</v>
      </c>
      <c r="D103" s="183"/>
      <c r="E103" s="183"/>
      <c r="F103" s="183"/>
      <c r="G103" s="183"/>
      <c r="H103" s="183"/>
      <c r="I103" s="183"/>
      <c r="J103" s="183"/>
      <c r="K103" s="183"/>
      <c r="L103" s="183">
        <v>-0.20327500000000001</v>
      </c>
      <c r="M103" s="183">
        <v>4.1822999999999999E-2</v>
      </c>
      <c r="N103" s="183">
        <v>0.36492000000000002</v>
      </c>
      <c r="O103" s="183">
        <v>-4.1264500000000003E-2</v>
      </c>
      <c r="P103" s="183">
        <v>-0.28184399999999998</v>
      </c>
      <c r="Q103" s="190">
        <v>-6.7285700000000004E-2</v>
      </c>
      <c r="S103" s="198" t="str">
        <f t="shared" ca="1" si="8"/>
        <v>=X43</v>
      </c>
      <c r="T103" s="196">
        <f t="shared" si="9"/>
        <v>2.1833969503787043</v>
      </c>
      <c r="U103" s="4">
        <f t="shared" si="10"/>
        <v>5.6962029987244884</v>
      </c>
      <c r="V103" s="4">
        <f t="shared" si="11"/>
        <v>4.5863389849406495</v>
      </c>
      <c r="W103" s="4">
        <f t="shared" si="12"/>
        <v>3.3068584190586319</v>
      </c>
      <c r="X103" s="4">
        <f t="shared" si="13"/>
        <v>4.9491185688010804</v>
      </c>
      <c r="Y103" s="4">
        <f t="shared" si="14"/>
        <v>6.0774129434240969</v>
      </c>
      <c r="Z103" s="4">
        <f t="shared" si="15"/>
        <v>5.0655723927157075</v>
      </c>
    </row>
    <row r="104" spans="2:27">
      <c r="B104" s="187" t="s">
        <v>158</v>
      </c>
      <c r="C104" s="189" t="s">
        <v>80</v>
      </c>
      <c r="D104" s="183"/>
      <c r="E104" s="183"/>
      <c r="F104" s="183"/>
      <c r="G104" s="183"/>
      <c r="H104" s="183"/>
      <c r="I104" s="183"/>
      <c r="J104" s="183"/>
      <c r="K104" s="183"/>
      <c r="L104" s="183">
        <v>7.9979999999999996E-2</v>
      </c>
      <c r="M104" s="183">
        <v>0.82180350000000002</v>
      </c>
      <c r="N104" s="183">
        <v>1.6168200000000001E-2</v>
      </c>
      <c r="O104" s="183">
        <v>-0.58447099999999996</v>
      </c>
      <c r="P104" s="183">
        <v>-0.28064440000000002</v>
      </c>
      <c r="Q104" s="190">
        <v>-8.9934799999999995E-2</v>
      </c>
      <c r="S104" s="198" t="str">
        <f t="shared" ca="1" si="8"/>
        <v>=X44</v>
      </c>
      <c r="T104" s="196">
        <f t="shared" si="9"/>
        <v>-0.15281530709121449</v>
      </c>
      <c r="U104" s="4">
        <f t="shared" si="10"/>
        <v>5.4193655003692859E-2</v>
      </c>
      <c r="V104" s="4">
        <f t="shared" si="11"/>
        <v>0.94988181913590197</v>
      </c>
      <c r="W104" s="4">
        <f t="shared" si="12"/>
        <v>2.8555425668846536E-2</v>
      </c>
      <c r="X104" s="4">
        <f t="shared" si="13"/>
        <v>0.1863266372205637</v>
      </c>
      <c r="Y104" s="4">
        <f t="shared" si="14"/>
        <v>1.6340276993882921E-2</v>
      </c>
      <c r="Z104" s="4">
        <f t="shared" si="15"/>
        <v>3.9539581720482763E-3</v>
      </c>
    </row>
    <row r="105" spans="2:27">
      <c r="B105" s="187" t="s">
        <v>159</v>
      </c>
      <c r="C105" s="189" t="s">
        <v>83</v>
      </c>
      <c r="D105" s="183"/>
      <c r="E105" s="183"/>
      <c r="F105" s="183"/>
      <c r="G105" s="183"/>
      <c r="H105" s="183"/>
      <c r="I105" s="183"/>
      <c r="J105" s="183"/>
      <c r="K105" s="183"/>
      <c r="L105" s="183">
        <v>0.6328414</v>
      </c>
      <c r="M105" s="183">
        <v>-0.2130098</v>
      </c>
      <c r="N105" s="183">
        <v>0.16366900000000001</v>
      </c>
      <c r="O105" s="183">
        <v>-0.97640490000000002</v>
      </c>
      <c r="P105" s="183">
        <v>0.16454579999999999</v>
      </c>
      <c r="Q105" s="190">
        <v>0.65916520000000001</v>
      </c>
      <c r="S105" s="198" t="str">
        <f t="shared" ca="1" si="8"/>
        <v>=X45</v>
      </c>
      <c r="T105" s="196">
        <f t="shared" si="9"/>
        <v>-2.7076685945591659</v>
      </c>
      <c r="U105" s="4">
        <f t="shared" si="10"/>
        <v>11.159007023749677</v>
      </c>
      <c r="V105" s="4">
        <f t="shared" si="11"/>
        <v>6.2233225012713902</v>
      </c>
      <c r="W105" s="4">
        <f t="shared" si="12"/>
        <v>8.2445795819288179</v>
      </c>
      <c r="X105" s="4">
        <f t="shared" si="13"/>
        <v>2.9972739800986532</v>
      </c>
      <c r="Y105" s="4">
        <f t="shared" si="14"/>
        <v>8.2496155283128747</v>
      </c>
      <c r="Z105" s="4">
        <f t="shared" si="15"/>
        <v>11.33556980018567</v>
      </c>
    </row>
    <row r="106" spans="2:27">
      <c r="B106" s="187" t="s">
        <v>160</v>
      </c>
      <c r="C106" s="189" t="s">
        <v>86</v>
      </c>
      <c r="D106" s="183"/>
      <c r="E106" s="183"/>
      <c r="F106" s="183"/>
      <c r="G106" s="183"/>
      <c r="H106" s="183"/>
      <c r="I106" s="183"/>
      <c r="J106" s="183"/>
      <c r="K106" s="183"/>
      <c r="L106" s="183">
        <v>-0.72108819999999996</v>
      </c>
      <c r="M106" s="183">
        <v>1.0038404999999999</v>
      </c>
      <c r="N106" s="183">
        <v>-9.8637299999999997E-2</v>
      </c>
      <c r="O106" s="183">
        <v>0.1098268</v>
      </c>
      <c r="P106" s="183">
        <v>-0.20952580000000001</v>
      </c>
      <c r="Q106" s="190">
        <v>-0.55637400000000004</v>
      </c>
      <c r="S106" s="198" t="str">
        <f t="shared" ca="1" si="8"/>
        <v>=X46</v>
      </c>
      <c r="T106" s="196">
        <f t="shared" si="9"/>
        <v>-0.88069721036565218</v>
      </c>
      <c r="U106" s="4">
        <f t="shared" si="10"/>
        <v>2.5475036189902881E-2</v>
      </c>
      <c r="V106" s="4">
        <f t="shared" si="11"/>
        <v>3.5514823817902141</v>
      </c>
      <c r="W106" s="4">
        <f t="shared" si="12"/>
        <v>0.61161770340113186</v>
      </c>
      <c r="X106" s="4">
        <f t="shared" si="13"/>
        <v>0.98113781511085463</v>
      </c>
      <c r="Y106" s="4">
        <f t="shared" si="14"/>
        <v>0.45047106209221871</v>
      </c>
      <c r="Z106" s="4">
        <f t="shared" si="15"/>
        <v>0.10518554478188305</v>
      </c>
    </row>
    <row r="107" spans="2:27">
      <c r="B107" s="187" t="s">
        <v>161</v>
      </c>
      <c r="C107" s="189" t="s">
        <v>89</v>
      </c>
      <c r="D107" s="183"/>
      <c r="E107" s="183"/>
      <c r="F107" s="183"/>
      <c r="G107" s="183"/>
      <c r="H107" s="183"/>
      <c r="I107" s="183"/>
      <c r="J107" s="183"/>
      <c r="K107" s="183"/>
      <c r="L107" s="183">
        <v>0.26279609999999998</v>
      </c>
      <c r="M107" s="183">
        <v>-0.1268389</v>
      </c>
      <c r="N107" s="183">
        <v>-4.8404900000000001E-2</v>
      </c>
      <c r="O107" s="183">
        <v>-0.65115029999999996</v>
      </c>
      <c r="P107" s="183">
        <v>0.44821070000000002</v>
      </c>
      <c r="Q107" s="190">
        <v>0.5718588</v>
      </c>
      <c r="S107" s="198" t="str">
        <f t="shared" ca="1" si="8"/>
        <v>=X47</v>
      </c>
      <c r="T107" s="196">
        <f t="shared" si="9"/>
        <v>0.39839485810477632</v>
      </c>
      <c r="U107" s="4">
        <f t="shared" si="10"/>
        <v>1.8387023199557647E-2</v>
      </c>
      <c r="V107" s="4">
        <f t="shared" si="11"/>
        <v>0.27587050065286672</v>
      </c>
      <c r="W107" s="4">
        <f t="shared" si="12"/>
        <v>0.19963002384248665</v>
      </c>
      <c r="X107" s="4">
        <f t="shared" si="13"/>
        <v>1.1015450389011801</v>
      </c>
      <c r="Y107" s="4">
        <f t="shared" si="14"/>
        <v>2.4816181037299249E-3</v>
      </c>
      <c r="Z107" s="4">
        <f t="shared" si="15"/>
        <v>3.0089739137829537E-2</v>
      </c>
    </row>
    <row r="108" spans="2:27">
      <c r="B108" s="187" t="s">
        <v>162</v>
      </c>
      <c r="C108" s="183" t="s">
        <v>162</v>
      </c>
      <c r="D108" s="183"/>
      <c r="E108" s="183"/>
      <c r="F108" s="183"/>
      <c r="G108" s="183"/>
      <c r="H108" s="183"/>
      <c r="I108" s="183"/>
      <c r="J108" s="183"/>
      <c r="K108" s="183"/>
      <c r="L108" s="183">
        <v>0.70308170000000003</v>
      </c>
      <c r="M108" s="183">
        <v>5.8883100000000001E-2</v>
      </c>
      <c r="N108" s="183">
        <v>-0.36951679999999998</v>
      </c>
      <c r="O108" s="183">
        <v>-0.24211840000000001</v>
      </c>
      <c r="P108" s="183">
        <v>-0.76600990000000002</v>
      </c>
      <c r="Q108" s="190">
        <v>0.3211019</v>
      </c>
      <c r="S108" s="198" t="str">
        <f t="shared" ca="1" si="8"/>
        <v>=X71</v>
      </c>
      <c r="T108" s="157">
        <f>X71</f>
        <v>0.43854757190369487</v>
      </c>
      <c r="U108" s="4">
        <f t="shared" si="10"/>
        <v>6.9978304927672388E-2</v>
      </c>
      <c r="V108" s="4">
        <f t="shared" si="11"/>
        <v>0.1441451112259115</v>
      </c>
      <c r="W108" s="4">
        <f t="shared" si="12"/>
        <v>0.65296802914011287</v>
      </c>
      <c r="X108" s="4">
        <f t="shared" si="13"/>
        <v>0.4633061653076016</v>
      </c>
      <c r="Y108" s="4">
        <f t="shared" si="14"/>
        <v>1.4509587031190208</v>
      </c>
      <c r="Z108" s="4">
        <f t="shared" si="15"/>
        <v>1.3793485848910342E-2</v>
      </c>
    </row>
    <row r="109" spans="2:27">
      <c r="B109" s="187" t="s">
        <v>163</v>
      </c>
      <c r="C109" s="183" t="s">
        <v>163</v>
      </c>
      <c r="D109" s="183"/>
      <c r="E109" s="183"/>
      <c r="F109" s="183"/>
      <c r="G109" s="183"/>
      <c r="H109" s="183"/>
      <c r="I109" s="183"/>
      <c r="J109" s="183"/>
      <c r="K109" s="183"/>
      <c r="L109" s="183">
        <v>0.19029450000000001</v>
      </c>
      <c r="M109" s="183">
        <v>-0.16004189999999999</v>
      </c>
      <c r="N109" s="183">
        <v>-0.33129560000000002</v>
      </c>
      <c r="O109" s="183">
        <v>-0.31196430000000003</v>
      </c>
      <c r="P109" s="183">
        <v>5.2972999999999996E-3</v>
      </c>
      <c r="Q109" s="190">
        <v>0.45892440000000001</v>
      </c>
      <c r="S109" s="198" t="str">
        <f t="shared" ca="1" si="8"/>
        <v>=X69</v>
      </c>
      <c r="T109" s="157">
        <f>X69</f>
        <v>-1.2071102749156046</v>
      </c>
      <c r="U109" s="4">
        <f t="shared" si="10"/>
        <v>1.9527401049569317</v>
      </c>
      <c r="V109" s="4">
        <f t="shared" si="11"/>
        <v>1.0963521817484052</v>
      </c>
      <c r="W109" s="4">
        <f t="shared" si="12"/>
        <v>0.76705134479752612</v>
      </c>
      <c r="X109" s="4">
        <f t="shared" si="13"/>
        <v>0.80128631640760817</v>
      </c>
      <c r="Y109" s="4">
        <f t="shared" si="14"/>
        <v>1.4699321277127375</v>
      </c>
      <c r="Z109" s="4">
        <f t="shared" si="15"/>
        <v>2.7756715380211441</v>
      </c>
    </row>
    <row r="110" spans="2:27">
      <c r="B110" s="187" t="s">
        <v>164</v>
      </c>
      <c r="C110" s="183" t="s">
        <v>164</v>
      </c>
      <c r="D110" s="183"/>
      <c r="E110" s="183"/>
      <c r="F110" s="183"/>
      <c r="G110" s="183"/>
      <c r="H110" s="183"/>
      <c r="I110" s="183"/>
      <c r="J110" s="183"/>
      <c r="K110" s="183"/>
      <c r="L110" s="183">
        <v>0.48921110000000001</v>
      </c>
      <c r="M110" s="183">
        <v>0.21572730000000001</v>
      </c>
      <c r="N110" s="183">
        <v>-0.3631568</v>
      </c>
      <c r="O110" s="183">
        <v>-0.49473719999999999</v>
      </c>
      <c r="P110" s="183">
        <v>-0.46150659999999999</v>
      </c>
      <c r="Q110" s="190">
        <v>0.2974851</v>
      </c>
      <c r="S110" s="198" t="str">
        <f t="shared" ca="1" si="8"/>
        <v>=X75</v>
      </c>
      <c r="T110" s="157">
        <f>X75</f>
        <v>-1.5649830181036366</v>
      </c>
      <c r="U110" s="4">
        <f t="shared" si="10"/>
        <v>4.2197134748515772</v>
      </c>
      <c r="V110" s="4">
        <f t="shared" si="11"/>
        <v>3.1709292370007547</v>
      </c>
      <c r="W110" s="4">
        <f t="shared" si="12"/>
        <v>1.4443862585212897</v>
      </c>
      <c r="X110" s="4">
        <f t="shared" si="13"/>
        <v>1.1454261111683226</v>
      </c>
      <c r="Y110" s="4">
        <f t="shared" si="14"/>
        <v>1.2176602053108321</v>
      </c>
      <c r="Z110" s="4">
        <f t="shared" si="15"/>
        <v>3.4687874909525021</v>
      </c>
    </row>
    <row r="111" spans="2:27">
      <c r="B111" s="191" t="s">
        <v>165</v>
      </c>
      <c r="C111" s="192" t="s">
        <v>165</v>
      </c>
      <c r="D111" s="192"/>
      <c r="E111" s="183"/>
      <c r="F111" s="192"/>
      <c r="G111" s="192"/>
      <c r="H111" s="192"/>
      <c r="I111" s="192"/>
      <c r="J111" s="192"/>
      <c r="K111" s="192"/>
      <c r="L111" s="192">
        <v>0.51548910000000003</v>
      </c>
      <c r="M111" s="192">
        <v>6.5332200000000007E-2</v>
      </c>
      <c r="N111" s="192">
        <v>1.7420000000000001E-4</v>
      </c>
      <c r="O111" s="192">
        <v>-0.37011919999999998</v>
      </c>
      <c r="P111" s="192">
        <v>-0.40889609999999998</v>
      </c>
      <c r="Q111" s="193">
        <v>-6.8578600000000003E-2</v>
      </c>
      <c r="S111" s="198" t="str">
        <f t="shared" ca="1" si="8"/>
        <v>=X77</v>
      </c>
      <c r="T111" s="157">
        <f>X77</f>
        <v>-2.5760780166842911</v>
      </c>
      <c r="U111" s="204">
        <f t="shared" si="10"/>
        <v>9.5577872369636214</v>
      </c>
      <c r="V111" s="204">
        <f t="shared" si="11"/>
        <v>6.9770479328041528</v>
      </c>
      <c r="W111" s="204">
        <f t="shared" si="12"/>
        <v>6.6370754839707242</v>
      </c>
      <c r="X111" s="204">
        <f t="shared" si="13"/>
        <v>4.8662543009071584</v>
      </c>
      <c r="Y111" s="204">
        <f t="shared" si="14"/>
        <v>4.6966774600033991</v>
      </c>
      <c r="Z111" s="204">
        <f t="shared" si="15"/>
        <v>6.2875533246720607</v>
      </c>
    </row>
    <row r="112" spans="2:27" ht="16.5">
      <c r="D112" s="106"/>
      <c r="E112" s="192"/>
      <c r="S112" t="s">
        <v>166</v>
      </c>
      <c r="U112" s="201">
        <f>SUM(U98:U111)</f>
        <v>55.976148955952823</v>
      </c>
      <c r="V112" s="201">
        <f t="shared" ref="V112:Z112" si="16">SUM(V98:V111)</f>
        <v>45.890354521985927</v>
      </c>
      <c r="W112" s="201">
        <f t="shared" si="16"/>
        <v>42.029199357559676</v>
      </c>
      <c r="X112" s="201">
        <f t="shared" si="16"/>
        <v>31.080409255265202</v>
      </c>
      <c r="Y112" s="201">
        <f t="shared" si="16"/>
        <v>28.751726445447328</v>
      </c>
      <c r="Z112" s="201">
        <f t="shared" si="16"/>
        <v>47.98114905503256</v>
      </c>
      <c r="AA112" s="197" t="str">
        <f ca="1">_xlfn.FORMULATEXT(Z112)</f>
        <v>=SUM(Z98:Z111)</v>
      </c>
    </row>
    <row r="113" spans="2:30" ht="15.75">
      <c r="D113" s="106"/>
      <c r="S113" s="45" t="s">
        <v>167</v>
      </c>
      <c r="U113" s="4">
        <f t="shared" ref="U113:Z113" si="17">1-($T$116/U112)</f>
        <v>0.48635754724620606</v>
      </c>
      <c r="V113" s="4">
        <f t="shared" si="17"/>
        <v>0.37346907111662286</v>
      </c>
      <c r="W113" s="4">
        <f t="shared" si="17"/>
        <v>0.31591067912465876</v>
      </c>
      <c r="X113" s="4">
        <f t="shared" si="17"/>
        <v>7.492445774096046E-2</v>
      </c>
      <c r="Y113" s="4">
        <f t="shared" si="17"/>
        <v>0</v>
      </c>
      <c r="Z113" s="4">
        <f t="shared" si="17"/>
        <v>0.40077036478492445</v>
      </c>
      <c r="AA113" s="197" t="str">
        <f ca="1">_xlfn.FORMULATEXT(Z113)</f>
        <v>=1-($T$116/Z112)</v>
      </c>
    </row>
    <row r="114" spans="2:30" ht="15.75">
      <c r="D114" s="106"/>
      <c r="S114" t="s">
        <v>168</v>
      </c>
      <c r="U114" s="114" t="str">
        <f>IF(U113 &gt; 0.2, "Above Threshold", "Below Threshold")</f>
        <v>Above Threshold</v>
      </c>
      <c r="V114" s="114" t="str">
        <f t="shared" ref="V114:Z114" si="18">IF(V113 &gt; 0.2, "Above Threshold", "Below Threshold")</f>
        <v>Above Threshold</v>
      </c>
      <c r="W114" s="114" t="str">
        <f t="shared" si="18"/>
        <v>Above Threshold</v>
      </c>
      <c r="X114" s="114" t="str">
        <f t="shared" si="18"/>
        <v>Below Threshold</v>
      </c>
      <c r="Y114" s="114" t="str">
        <f t="shared" si="18"/>
        <v>Below Threshold</v>
      </c>
      <c r="Z114" s="114" t="str">
        <f t="shared" si="18"/>
        <v>Above Threshold</v>
      </c>
    </row>
    <row r="115" spans="2:30" ht="16.5">
      <c r="D115" s="106"/>
      <c r="S115" s="205"/>
      <c r="T115" s="205"/>
      <c r="U115" s="201"/>
      <c r="V115" s="201"/>
      <c r="W115" s="201"/>
      <c r="X115" s="164"/>
      <c r="Y115" s="164"/>
      <c r="Z115" s="164"/>
    </row>
    <row r="116" spans="2:30" ht="24">
      <c r="D116" s="106"/>
      <c r="S116" s="202" t="s">
        <v>169</v>
      </c>
      <c r="T116" s="203">
        <f>MIN(U112:Z112)</f>
        <v>28.751726445447328</v>
      </c>
      <c r="U116" s="203" t="str">
        <f>INDEX($U$97:$Z$97, MATCH(MIN($U$112:$Z$112), $U$112:$Z$112, 0))</f>
        <v>5.00 Incrementalists</v>
      </c>
      <c r="V116" s="203"/>
      <c r="W116" s="203"/>
      <c r="X116" s="164"/>
      <c r="Y116" s="164"/>
      <c r="Z116" s="164"/>
    </row>
    <row r="117" spans="2:30" ht="24">
      <c r="D117" s="106"/>
      <c r="S117" s="202" t="s">
        <v>170</v>
      </c>
      <c r="T117" s="203">
        <f>SMALL(U112:Z112, 2)</f>
        <v>31.080409255265202</v>
      </c>
      <c r="U117" s="203" t="str">
        <f>INDEX($U$97:$Z$97, MATCH(SMALL($U$112:$Z$112, 2), $U$112:$Z$112, 0))</f>
        <v>4.00 Abundance</v>
      </c>
      <c r="V117" s="203"/>
      <c r="W117" s="203"/>
      <c r="X117" s="164"/>
      <c r="Y117" s="164"/>
      <c r="Z117" s="164"/>
    </row>
    <row r="118" spans="2:30" ht="24">
      <c r="B118" s="274"/>
      <c r="C118" s="223"/>
      <c r="D118" s="275"/>
      <c r="F118" s="223"/>
      <c r="G118" s="223"/>
      <c r="H118" s="301" t="s">
        <v>171</v>
      </c>
      <c r="I118" s="301"/>
      <c r="J118" s="301"/>
      <c r="K118" s="301"/>
      <c r="L118" s="301"/>
      <c r="M118" s="301"/>
      <c r="N118" s="301"/>
      <c r="O118" s="301"/>
      <c r="P118" s="301"/>
      <c r="Q118" s="302"/>
      <c r="S118" s="208"/>
      <c r="T118" s="209"/>
      <c r="U118" s="209"/>
      <c r="V118" s="209"/>
      <c r="W118" s="209"/>
      <c r="X118" s="164"/>
      <c r="Y118" s="164"/>
      <c r="Z118" s="164"/>
    </row>
    <row r="119" spans="2:30" ht="27.75">
      <c r="B119" s="276" t="s">
        <v>144</v>
      </c>
      <c r="C119" s="220"/>
      <c r="D119" s="220"/>
      <c r="E119" s="223"/>
      <c r="F119" s="220"/>
      <c r="G119" s="220"/>
      <c r="H119" s="225" t="s">
        <v>172</v>
      </c>
      <c r="I119" s="225" t="s">
        <v>173</v>
      </c>
      <c r="J119" s="225" t="s">
        <v>174</v>
      </c>
      <c r="K119" s="225" t="s">
        <v>175</v>
      </c>
      <c r="L119" s="225" t="s">
        <v>176</v>
      </c>
      <c r="M119" s="225" t="s">
        <v>177</v>
      </c>
      <c r="N119" s="225" t="s">
        <v>178</v>
      </c>
      <c r="O119" s="225" t="s">
        <v>179</v>
      </c>
      <c r="P119" s="225" t="s">
        <v>180</v>
      </c>
      <c r="Q119" s="277" t="s">
        <v>181</v>
      </c>
      <c r="S119" s="198"/>
      <c r="U119" s="163"/>
      <c r="V119" s="163"/>
      <c r="W119" s="163"/>
      <c r="X119" s="163"/>
      <c r="Y119" s="163"/>
      <c r="Z119" s="163"/>
      <c r="AA119" s="162"/>
    </row>
    <row r="120" spans="2:30">
      <c r="B120" s="224"/>
      <c r="C120" s="220"/>
      <c r="D120" s="220"/>
      <c r="E120" s="220"/>
      <c r="F120" s="220"/>
      <c r="G120" s="220"/>
      <c r="H120" s="220">
        <v>1</v>
      </c>
      <c r="I120" s="220">
        <v>2</v>
      </c>
      <c r="J120" s="220">
        <v>3</v>
      </c>
      <c r="K120" s="220">
        <v>4</v>
      </c>
      <c r="L120" s="220">
        <v>5</v>
      </c>
      <c r="M120" s="220">
        <v>6</v>
      </c>
      <c r="N120" s="220">
        <v>7</v>
      </c>
      <c r="O120" s="220">
        <v>8</v>
      </c>
      <c r="P120" s="220">
        <v>9</v>
      </c>
      <c r="Q120" s="227">
        <v>10</v>
      </c>
      <c r="S120" s="198"/>
      <c r="U120" s="16" t="s">
        <v>172</v>
      </c>
      <c r="V120" s="16" t="s">
        <v>173</v>
      </c>
      <c r="W120" s="16" t="s">
        <v>174</v>
      </c>
      <c r="X120" s="16" t="s">
        <v>175</v>
      </c>
      <c r="Y120" s="16" t="s">
        <v>176</v>
      </c>
      <c r="Z120" s="16" t="s">
        <v>177</v>
      </c>
      <c r="AA120" s="162" t="s">
        <v>178</v>
      </c>
      <c r="AB120" s="16" t="s">
        <v>179</v>
      </c>
      <c r="AC120" s="16" t="s">
        <v>180</v>
      </c>
      <c r="AD120" s="16" t="s">
        <v>181</v>
      </c>
    </row>
    <row r="121" spans="2:30">
      <c r="B121" s="226" t="s">
        <v>92</v>
      </c>
      <c r="C121" s="226"/>
      <c r="D121" s="220"/>
      <c r="E121" s="220"/>
      <c r="F121" s="220"/>
      <c r="G121" s="220"/>
      <c r="H121" s="220">
        <v>-0.12609999999999999</v>
      </c>
      <c r="I121" s="220">
        <v>-0.40510000000000002</v>
      </c>
      <c r="J121" s="220">
        <v>1.02234</v>
      </c>
      <c r="K121" s="220">
        <v>0.58465</v>
      </c>
      <c r="L121" s="220">
        <v>-1.2500199999999999</v>
      </c>
      <c r="M121" s="220">
        <v>0.82372999999999996</v>
      </c>
      <c r="N121" s="220">
        <v>-0.62919999999999998</v>
      </c>
      <c r="O121" s="220">
        <v>-1.1851400000000001</v>
      </c>
      <c r="P121" s="220">
        <v>-0.80391999999999997</v>
      </c>
      <c r="Q121" s="227">
        <v>0.20713999999999999</v>
      </c>
      <c r="S121" s="198" t="str">
        <f t="shared" ref="S121:S132" ca="1" si="19">_xlfn.FORMULATEXT(T121)</f>
        <v>=X53</v>
      </c>
      <c r="T121" s="196">
        <f t="shared" ref="T121:T132" si="20">X53</f>
        <v>-0.26857572713687233</v>
      </c>
      <c r="U121" s="4">
        <f t="shared" ref="U121:U132" si="21">($T121-H121)^2</f>
        <v>2.0299332823180503E-2</v>
      </c>
      <c r="V121" s="4">
        <f t="shared" ref="V121:V132" si="22">($T121-I121)^2</f>
        <v>1.8638877080805742E-2</v>
      </c>
      <c r="W121" s="4">
        <f t="shared" ref="W121:W132" si="23">($T121-J121)^2</f>
        <v>1.6664634145693198</v>
      </c>
      <c r="X121" s="4">
        <f t="shared" ref="X121:X132" si="24">($T121-K121)^2</f>
        <v>0.72799414144824459</v>
      </c>
      <c r="Y121" s="4">
        <f t="shared" ref="Y121:Y132" si="25">($T121-L121)^2</f>
        <v>0.96323286073583336</v>
      </c>
      <c r="Z121" s="4">
        <f t="shared" ref="Z121:Z132" si="26">($T121-M121)^2</f>
        <v>1.1931318015360115</v>
      </c>
      <c r="AA121" s="4">
        <f t="shared" ref="AA121:AA132" si="27">($T121-N121)^2</f>
        <v>0.13004986617805955</v>
      </c>
      <c r="AB121" s="4">
        <f t="shared" ref="AB121:AB132" si="28">($T121-O121)^2</f>
        <v>0.8400900662891142</v>
      </c>
      <c r="AC121" s="4">
        <f t="shared" ref="AC121:AC132" si="29">($T121-P121)^2</f>
        <v>0.28659349048735089</v>
      </c>
      <c r="AD121" s="4">
        <f t="shared" ref="AD121:AD132" si="30">($T121-Q121)^2</f>
        <v>0.22630545304536318</v>
      </c>
    </row>
    <row r="122" spans="2:30">
      <c r="B122" s="226" t="s">
        <v>93</v>
      </c>
      <c r="C122" s="226"/>
      <c r="D122" s="220"/>
      <c r="E122" s="220"/>
      <c r="F122" s="220"/>
      <c r="G122" s="220"/>
      <c r="H122" s="220">
        <v>-0.19506000000000001</v>
      </c>
      <c r="I122" s="220">
        <v>-0.46396999999999999</v>
      </c>
      <c r="J122" s="220">
        <v>-1.0748200000000001</v>
      </c>
      <c r="K122" s="220">
        <v>0.14555999999999999</v>
      </c>
      <c r="L122" s="220">
        <v>1.0680099999999999</v>
      </c>
      <c r="M122" s="220">
        <v>-0.42514000000000002</v>
      </c>
      <c r="N122" s="220">
        <v>0.37386000000000003</v>
      </c>
      <c r="O122" s="220">
        <v>1.31134</v>
      </c>
      <c r="P122" s="220">
        <v>0.51100000000000001</v>
      </c>
      <c r="Q122" s="227">
        <v>-0.28626000000000001</v>
      </c>
      <c r="S122" s="198" t="str">
        <f t="shared" ca="1" si="19"/>
        <v>=X54</v>
      </c>
      <c r="T122" s="196">
        <f t="shared" si="20"/>
        <v>0.13008482287571146</v>
      </c>
      <c r="U122" s="4">
        <f t="shared" si="21"/>
        <v>0.10571915584287778</v>
      </c>
      <c r="V122" s="4">
        <f t="shared" si="22"/>
        <v>0.35290113258189287</v>
      </c>
      <c r="W122" s="4">
        <f t="shared" si="23"/>
        <v>1.4517956321891499</v>
      </c>
      <c r="X122" s="4">
        <f t="shared" si="24"/>
        <v>2.3948110702810303E-4</v>
      </c>
      <c r="Y122" s="4">
        <f t="shared" si="25"/>
        <v>0.87970363788362793</v>
      </c>
      <c r="Z122" s="4">
        <f t="shared" si="26"/>
        <v>0.30827460393736522</v>
      </c>
      <c r="AA122" s="4">
        <f t="shared" si="27"/>
        <v>5.9426336981978259E-2</v>
      </c>
      <c r="AB122" s="4">
        <f t="shared" si="28"/>
        <v>1.3953637934829342</v>
      </c>
      <c r="AC122" s="4">
        <f t="shared" si="29"/>
        <v>0.14509637216362814</v>
      </c>
      <c r="AD122" s="4">
        <f t="shared" si="30"/>
        <v>0.1733430115354076</v>
      </c>
    </row>
    <row r="123" spans="2:30">
      <c r="B123" s="226" t="s">
        <v>94</v>
      </c>
      <c r="C123" s="226"/>
      <c r="D123" s="220"/>
      <c r="E123" s="220"/>
      <c r="F123" s="220"/>
      <c r="G123" s="220"/>
      <c r="H123" s="220">
        <v>0.85224</v>
      </c>
      <c r="I123" s="220">
        <v>-0.53113999999999995</v>
      </c>
      <c r="J123" s="220">
        <v>-0.78602000000000005</v>
      </c>
      <c r="K123" s="220">
        <v>-0.72724</v>
      </c>
      <c r="L123" s="220">
        <v>1.07565</v>
      </c>
      <c r="M123" s="220">
        <v>-0.51893999999999996</v>
      </c>
      <c r="N123" s="220">
        <v>-0.60455000000000003</v>
      </c>
      <c r="O123" s="220">
        <v>0.61219000000000001</v>
      </c>
      <c r="P123" s="220">
        <v>0.99073999999999995</v>
      </c>
      <c r="Q123" s="227">
        <v>-0.4556</v>
      </c>
      <c r="S123" s="198" t="str">
        <f t="shared" ca="1" si="19"/>
        <v>=X55</v>
      </c>
      <c r="T123" s="196">
        <f t="shared" si="20"/>
        <v>0.5927722350554232</v>
      </c>
      <c r="U123" s="4">
        <f t="shared" si="21"/>
        <v>6.732352104533415E-2</v>
      </c>
      <c r="V123" s="4">
        <f t="shared" si="22"/>
        <v>1.2631787121072768</v>
      </c>
      <c r="W123" s="4">
        <f t="shared" si="23"/>
        <v>1.9010680274491298</v>
      </c>
      <c r="X123" s="4">
        <f t="shared" si="24"/>
        <v>1.7424323006960141</v>
      </c>
      <c r="Y123" s="4">
        <f t="shared" si="25"/>
        <v>0.23317093587786997</v>
      </c>
      <c r="Z123" s="4">
        <f t="shared" si="26"/>
        <v>1.2359040935719243</v>
      </c>
      <c r="AA123" s="4">
        <f t="shared" si="27"/>
        <v>1.4335805345581145</v>
      </c>
      <c r="AB123" s="4">
        <f t="shared" si="28"/>
        <v>3.7704959544283606E-4</v>
      </c>
      <c r="AC123" s="4">
        <f t="shared" si="29"/>
        <v>0.1583783419349819</v>
      </c>
      <c r="AD123" s="4">
        <f t="shared" si="30"/>
        <v>1.0990843432351036</v>
      </c>
    </row>
    <row r="124" spans="2:30">
      <c r="B124" s="226" t="s">
        <v>95</v>
      </c>
      <c r="C124" s="226"/>
      <c r="D124" s="220"/>
      <c r="E124" s="220"/>
      <c r="F124" s="220"/>
      <c r="G124" s="220"/>
      <c r="H124" s="220">
        <v>0.62878000000000001</v>
      </c>
      <c r="I124" s="220">
        <v>0.34974</v>
      </c>
      <c r="J124" s="220">
        <v>2.367E-2</v>
      </c>
      <c r="K124" s="220">
        <v>-1.1360399999999999</v>
      </c>
      <c r="L124" s="220">
        <v>1.18021</v>
      </c>
      <c r="M124" s="220">
        <v>-0.62365000000000004</v>
      </c>
      <c r="N124" s="220">
        <v>0.62733000000000005</v>
      </c>
      <c r="O124" s="220">
        <v>-0.48681000000000002</v>
      </c>
      <c r="P124" s="220">
        <v>3.175E-2</v>
      </c>
      <c r="Q124" s="227">
        <v>1.3977299999999999</v>
      </c>
      <c r="S124" s="198" t="str">
        <f t="shared" ca="1" si="19"/>
        <v>=X56</v>
      </c>
      <c r="T124" s="196">
        <f t="shared" si="20"/>
        <v>1.0452579566934261</v>
      </c>
      <c r="U124" s="4">
        <f t="shared" si="21"/>
        <v>0.17345388841153134</v>
      </c>
      <c r="V124" s="4">
        <f t="shared" si="22"/>
        <v>0.48374522808299869</v>
      </c>
      <c r="W124" s="4">
        <f t="shared" si="23"/>
        <v>1.0436419532610492</v>
      </c>
      <c r="X124" s="4">
        <f t="shared" si="24"/>
        <v>4.7580607758749158</v>
      </c>
      <c r="Y124" s="4">
        <f t="shared" si="25"/>
        <v>1.8212053992619381E-2</v>
      </c>
      <c r="Z124" s="4">
        <f t="shared" si="26"/>
        <v>2.785253767914627</v>
      </c>
      <c r="AA124" s="4">
        <f t="shared" si="27"/>
        <v>0.17466377698594224</v>
      </c>
      <c r="AB124" s="4">
        <f t="shared" si="28"/>
        <v>2.3472322239267696</v>
      </c>
      <c r="AC124" s="4">
        <f t="shared" si="29"/>
        <v>1.0271983782808838</v>
      </c>
      <c r="AD124" s="4">
        <f t="shared" si="30"/>
        <v>0.12423654131271122</v>
      </c>
    </row>
    <row r="125" spans="2:30">
      <c r="B125" s="226" t="s">
        <v>96</v>
      </c>
      <c r="C125" s="226"/>
      <c r="D125" s="220"/>
      <c r="E125" s="220"/>
      <c r="F125" s="220"/>
      <c r="G125" s="220"/>
      <c r="H125" s="220">
        <v>-0.95869000000000004</v>
      </c>
      <c r="I125" s="220">
        <v>0.62692000000000003</v>
      </c>
      <c r="J125" s="220">
        <v>-0.88468999999999998</v>
      </c>
      <c r="K125" s="220">
        <v>1.1120000000000001</v>
      </c>
      <c r="L125" s="220">
        <v>-0.14726</v>
      </c>
      <c r="M125" s="220">
        <v>-0.33019999999999999</v>
      </c>
      <c r="N125" s="220">
        <v>1.1871799999999999</v>
      </c>
      <c r="O125" s="220">
        <v>1.28464</v>
      </c>
      <c r="P125" s="220">
        <v>-0.15409999999999999</v>
      </c>
      <c r="Q125" s="227">
        <v>-4.8710000000000003E-2</v>
      </c>
      <c r="S125" s="198" t="str">
        <f t="shared" ca="1" si="19"/>
        <v>=X57</v>
      </c>
      <c r="T125" s="196">
        <f t="shared" si="20"/>
        <v>0.41416658525188732</v>
      </c>
      <c r="U125" s="4">
        <f t="shared" si="21"/>
        <v>1.8847352036694729</v>
      </c>
      <c r="V125" s="4">
        <f t="shared" si="22"/>
        <v>4.5264015486982466E-2</v>
      </c>
      <c r="W125" s="4">
        <f t="shared" si="23"/>
        <v>1.6870284290521929</v>
      </c>
      <c r="X125" s="4">
        <f t="shared" si="24"/>
        <v>0.48697147473901159</v>
      </c>
      <c r="Y125" s="4">
        <f t="shared" si="25"/>
        <v>0.31519981062759478</v>
      </c>
      <c r="Z125" s="4">
        <f t="shared" si="26"/>
        <v>0.55408161323955518</v>
      </c>
      <c r="AA125" s="4">
        <f t="shared" si="27"/>
        <v>0.59754973938053757</v>
      </c>
      <c r="AB125" s="4">
        <f t="shared" si="28"/>
        <v>0.75772396578323975</v>
      </c>
      <c r="AC125" s="4">
        <f t="shared" si="29"/>
        <v>0.32292691191384054</v>
      </c>
      <c r="AD125" s="4">
        <f t="shared" si="30"/>
        <v>0.21425473317444774</v>
      </c>
    </row>
    <row r="126" spans="2:30">
      <c r="B126" s="226" t="s">
        <v>97</v>
      </c>
      <c r="C126" s="226"/>
      <c r="D126" s="220"/>
      <c r="E126" s="220"/>
      <c r="F126" s="220"/>
      <c r="G126" s="220"/>
      <c r="H126" s="220">
        <v>0.77122000000000002</v>
      </c>
      <c r="I126" s="220">
        <v>-0.23771</v>
      </c>
      <c r="J126" s="220">
        <v>-0.31253999999999998</v>
      </c>
      <c r="K126" s="220">
        <v>-0.44362000000000001</v>
      </c>
      <c r="L126" s="220">
        <v>0.59270999999999996</v>
      </c>
      <c r="M126" s="220">
        <v>-0.66739999999999999</v>
      </c>
      <c r="N126" s="220">
        <v>-0.19717000000000001</v>
      </c>
      <c r="O126" s="220">
        <v>0.5111</v>
      </c>
      <c r="P126" s="220">
        <v>0.79781999999999997</v>
      </c>
      <c r="Q126" s="227">
        <v>-0.90837999999999997</v>
      </c>
      <c r="S126" s="198" t="str">
        <f t="shared" ca="1" si="19"/>
        <v>=X58</v>
      </c>
      <c r="T126" s="196">
        <f t="shared" si="20"/>
        <v>1.5980721952736447</v>
      </c>
      <c r="U126" s="4">
        <f t="shared" si="21"/>
        <v>0.68368455282884555</v>
      </c>
      <c r="V126" s="4">
        <f t="shared" si="22"/>
        <v>3.3700962684837226</v>
      </c>
      <c r="W126" s="4">
        <f t="shared" si="23"/>
        <v>3.6504389607283763</v>
      </c>
      <c r="X126" s="4">
        <f t="shared" si="24"/>
        <v>4.1685070202413144</v>
      </c>
      <c r="Y126" s="4">
        <f t="shared" si="25"/>
        <v>1.010753143685442</v>
      </c>
      <c r="Z126" s="4">
        <f t="shared" si="26"/>
        <v>5.1323642675579872</v>
      </c>
      <c r="AA126" s="4">
        <f t="shared" si="27"/>
        <v>3.2228945396909356</v>
      </c>
      <c r="AB126" s="4">
        <f t="shared" si="28"/>
        <v>1.1815085532980063</v>
      </c>
      <c r="AC126" s="4">
        <f t="shared" si="29"/>
        <v>0.64040357604028764</v>
      </c>
      <c r="AD126" s="4">
        <f t="shared" si="30"/>
        <v>6.2823026071920731</v>
      </c>
    </row>
    <row r="127" spans="2:30">
      <c r="B127" s="226" t="s">
        <v>98</v>
      </c>
      <c r="C127" s="226"/>
      <c r="D127" s="220"/>
      <c r="E127" s="220"/>
      <c r="F127" s="220"/>
      <c r="G127" s="220"/>
      <c r="H127" s="220">
        <v>-0.82889999999999997</v>
      </c>
      <c r="I127" s="220">
        <v>1.34097</v>
      </c>
      <c r="J127" s="220">
        <v>-0.85389999999999999</v>
      </c>
      <c r="K127" s="220">
        <v>6.4869999999999997E-2</v>
      </c>
      <c r="L127" s="220">
        <v>7.3270000000000002E-2</v>
      </c>
      <c r="M127" s="220">
        <v>4.4569999999999999E-2</v>
      </c>
      <c r="N127" s="220">
        <v>4.9889999999999997E-2</v>
      </c>
      <c r="O127" s="220">
        <v>0.86504999999999999</v>
      </c>
      <c r="P127" s="220">
        <v>0.46422999999999998</v>
      </c>
      <c r="Q127" s="227">
        <v>-0.39129999999999998</v>
      </c>
      <c r="S127" s="198" t="str">
        <f t="shared" ca="1" si="19"/>
        <v>=X59</v>
      </c>
      <c r="T127" s="196">
        <f t="shared" si="20"/>
        <v>2.0271318818346235E-2</v>
      </c>
      <c r="U127" s="4">
        <f t="shared" si="21"/>
        <v>0.72109192870368932</v>
      </c>
      <c r="V127" s="4">
        <f t="shared" si="22"/>
        <v>1.7442450064749593</v>
      </c>
      <c r="W127" s="4">
        <f t="shared" si="23"/>
        <v>0.76417549464460666</v>
      </c>
      <c r="X127" s="4">
        <f t="shared" si="24"/>
        <v>1.9890423631427974E-3</v>
      </c>
      <c r="Y127" s="4">
        <f t="shared" si="25"/>
        <v>2.808860206994581E-3</v>
      </c>
      <c r="Z127" s="4">
        <f t="shared" si="26"/>
        <v>5.904259071676548E-4</v>
      </c>
      <c r="AA127" s="4">
        <f t="shared" si="27"/>
        <v>8.7726627494045075E-4</v>
      </c>
      <c r="AB127" s="4">
        <f t="shared" si="28"/>
        <v>0.71365102017901427</v>
      </c>
      <c r="AC127" s="4">
        <f t="shared" si="29"/>
        <v>0.19709931059655325</v>
      </c>
      <c r="AD127" s="4">
        <f t="shared" si="30"/>
        <v>0.16939095047387276</v>
      </c>
    </row>
    <row r="128" spans="2:30">
      <c r="B128" s="226" t="s">
        <v>99</v>
      </c>
      <c r="C128" s="226"/>
      <c r="D128" s="220"/>
      <c r="E128" s="220"/>
      <c r="F128" s="220"/>
      <c r="G128" s="220"/>
      <c r="H128" s="220">
        <v>-0.57842000000000005</v>
      </c>
      <c r="I128" s="220">
        <v>0.64731000000000005</v>
      </c>
      <c r="J128" s="220">
        <v>-0.60104000000000002</v>
      </c>
      <c r="K128" s="220">
        <v>0.51283999999999996</v>
      </c>
      <c r="L128" s="220">
        <v>-0.68959000000000004</v>
      </c>
      <c r="M128" s="220">
        <v>0.60399000000000003</v>
      </c>
      <c r="N128" s="220">
        <v>-1.59188</v>
      </c>
      <c r="O128" s="220">
        <v>0.65871000000000002</v>
      </c>
      <c r="P128" s="220">
        <v>0.60799999999999998</v>
      </c>
      <c r="Q128" s="227">
        <v>-1.36486</v>
      </c>
      <c r="S128" s="198" t="str">
        <f t="shared" ca="1" si="19"/>
        <v>=X60</v>
      </c>
      <c r="T128" s="196">
        <f t="shared" si="20"/>
        <v>-2.1016761151652319</v>
      </c>
      <c r="U128" s="4">
        <f t="shared" si="21"/>
        <v>2.3203091923882746</v>
      </c>
      <c r="V128" s="4">
        <f t="shared" si="22"/>
        <v>7.5569246613712338</v>
      </c>
      <c r="W128" s="4">
        <f t="shared" si="23"/>
        <v>2.2519087501381989</v>
      </c>
      <c r="X128" s="4">
        <f t="shared" si="24"/>
        <v>6.8356945164586973</v>
      </c>
      <c r="Y128" s="4">
        <f t="shared" si="25"/>
        <v>1.9939871966424367</v>
      </c>
      <c r="Z128" s="4">
        <f t="shared" si="26"/>
        <v>7.3206291267533183</v>
      </c>
      <c r="AA128" s="4">
        <f t="shared" si="27"/>
        <v>0.2598920790375624</v>
      </c>
      <c r="AB128" s="4">
        <f t="shared" si="28"/>
        <v>7.6197315047970013</v>
      </c>
      <c r="AC128" s="4">
        <f t="shared" si="29"/>
        <v>7.342344649096944</v>
      </c>
      <c r="AD128" s="4">
        <f t="shared" si="30"/>
        <v>0.54289798756718433</v>
      </c>
    </row>
    <row r="129" spans="2:30">
      <c r="B129" s="226" t="s">
        <v>100</v>
      </c>
      <c r="C129" s="226"/>
      <c r="D129" s="220"/>
      <c r="E129" s="220"/>
      <c r="F129" s="220"/>
      <c r="G129" s="220"/>
      <c r="H129" s="220">
        <v>-0.36864999999999998</v>
      </c>
      <c r="I129" s="220">
        <v>0.16667000000000001</v>
      </c>
      <c r="J129" s="220">
        <v>-0.22570999999999999</v>
      </c>
      <c r="K129" s="220">
        <v>0.94960999999999995</v>
      </c>
      <c r="L129" s="220">
        <v>0.12970999999999999</v>
      </c>
      <c r="M129" s="220">
        <v>-0.72424999999999995</v>
      </c>
      <c r="N129" s="220">
        <v>2.0912500000000001</v>
      </c>
      <c r="O129" s="220">
        <v>0.52634999999999998</v>
      </c>
      <c r="P129" s="220">
        <v>-0.34210000000000002</v>
      </c>
      <c r="Q129" s="227">
        <v>-8.7120000000000003E-2</v>
      </c>
      <c r="S129" s="198" t="str">
        <f t="shared" ca="1" si="19"/>
        <v>=X61</v>
      </c>
      <c r="T129" s="196">
        <f t="shared" si="20"/>
        <v>-2.4692443808878299</v>
      </c>
      <c r="U129" s="4">
        <f t="shared" si="21"/>
        <v>4.4124967530175248</v>
      </c>
      <c r="V129" s="4">
        <f t="shared" si="22"/>
        <v>6.9480446233712714</v>
      </c>
      <c r="W129" s="4">
        <f t="shared" si="23"/>
        <v>5.0334465182257393</v>
      </c>
      <c r="X129" s="4">
        <f t="shared" si="24"/>
        <v>11.688565277715906</v>
      </c>
      <c r="Y129" s="4">
        <f t="shared" si="25"/>
        <v>6.7545638739360419</v>
      </c>
      <c r="Z129" s="4">
        <f t="shared" si="26"/>
        <v>3.0450053893301008</v>
      </c>
      <c r="AA129" s="4">
        <f t="shared" si="27"/>
        <v>20.798108998109473</v>
      </c>
      <c r="AB129" s="4">
        <f t="shared" si="28"/>
        <v>8.9735856948067401</v>
      </c>
      <c r="AC129" s="4">
        <f t="shared" si="29"/>
        <v>4.52474321714267</v>
      </c>
      <c r="AD129" s="4">
        <f t="shared" si="30"/>
        <v>5.6745165660202268</v>
      </c>
    </row>
    <row r="130" spans="2:30">
      <c r="B130" s="226" t="s">
        <v>101</v>
      </c>
      <c r="C130" s="226"/>
      <c r="D130" s="220"/>
      <c r="E130" s="220"/>
      <c r="F130" s="220"/>
      <c r="G130" s="220"/>
      <c r="H130" s="220">
        <v>1.02773</v>
      </c>
      <c r="I130" s="220">
        <v>-1.3314999999999999</v>
      </c>
      <c r="J130" s="220">
        <v>0.65958000000000006</v>
      </c>
      <c r="K130" s="220">
        <v>-0.99743000000000004</v>
      </c>
      <c r="L130" s="220">
        <v>-7.4120000000000005E-2</v>
      </c>
      <c r="M130" s="220">
        <v>0.35569000000000001</v>
      </c>
      <c r="N130" s="220">
        <v>-1.5071300000000001</v>
      </c>
      <c r="O130" s="220">
        <v>-0.70520000000000005</v>
      </c>
      <c r="P130" s="220">
        <v>0.35966999999999999</v>
      </c>
      <c r="Q130" s="227">
        <v>-0.22933000000000001</v>
      </c>
      <c r="S130" s="198" t="str">
        <f t="shared" ca="1" si="19"/>
        <v>=X62</v>
      </c>
      <c r="T130" s="196">
        <f t="shared" si="20"/>
        <v>-0.62210290652562694</v>
      </c>
      <c r="U130" s="4">
        <f t="shared" si="21"/>
        <v>2.7219486194547984</v>
      </c>
      <c r="V130" s="4">
        <f t="shared" si="22"/>
        <v>0.50324423622988823</v>
      </c>
      <c r="W130" s="4">
        <f t="shared" si="23"/>
        <v>1.6427110728799792</v>
      </c>
      <c r="X130" s="4">
        <f t="shared" si="24"/>
        <v>0.14087042709592079</v>
      </c>
      <c r="Y130" s="4">
        <f t="shared" si="25"/>
        <v>0.30028526584427401</v>
      </c>
      <c r="Z130" s="4">
        <f t="shared" si="26"/>
        <v>0.95607896805183357</v>
      </c>
      <c r="AA130" s="4">
        <f t="shared" si="27"/>
        <v>0.78327295618369686</v>
      </c>
      <c r="AB130" s="4">
        <f t="shared" si="28"/>
        <v>6.9051269438887017E-3</v>
      </c>
      <c r="AC130" s="4">
        <f t="shared" si="29"/>
        <v>0.96387803998777732</v>
      </c>
      <c r="AD130" s="4">
        <f t="shared" si="30"/>
        <v>0.15427055610058885</v>
      </c>
    </row>
    <row r="131" spans="2:30">
      <c r="B131" s="220" t="s">
        <v>103</v>
      </c>
      <c r="C131" s="220"/>
      <c r="D131" s="220"/>
      <c r="E131" s="220"/>
      <c r="F131" s="220"/>
      <c r="G131" s="220"/>
      <c r="H131" s="220">
        <v>0.48010000000000003</v>
      </c>
      <c r="I131" s="220">
        <v>0.21314</v>
      </c>
      <c r="J131" s="220">
        <v>0.86573</v>
      </c>
      <c r="K131" s="220">
        <v>-0.6825</v>
      </c>
      <c r="L131" s="220">
        <v>0.54791999999999996</v>
      </c>
      <c r="M131" s="220">
        <v>-0.61611000000000005</v>
      </c>
      <c r="N131" s="220">
        <v>1.4875400000000001</v>
      </c>
      <c r="O131" s="220">
        <v>-0.94943999999999995</v>
      </c>
      <c r="P131" s="220">
        <v>-0.53529000000000004</v>
      </c>
      <c r="Q131" s="227">
        <v>1.09175</v>
      </c>
      <c r="S131" s="198" t="str">
        <f t="shared" ca="1" si="19"/>
        <v>=X63</v>
      </c>
      <c r="T131" s="196">
        <f t="shared" si="20"/>
        <v>1.139382865493894</v>
      </c>
      <c r="U131" s="4">
        <f t="shared" si="21"/>
        <v>0.43465389673383997</v>
      </c>
      <c r="V131" s="4">
        <f t="shared" si="22"/>
        <v>0.85792584587833987</v>
      </c>
      <c r="W131" s="4">
        <f t="shared" si="23"/>
        <v>7.4885890793019244E-2</v>
      </c>
      <c r="X131" s="4">
        <f t="shared" si="24"/>
        <v>3.3192571755802418</v>
      </c>
      <c r="Y131" s="4">
        <f t="shared" si="25"/>
        <v>0.3498283212582482</v>
      </c>
      <c r="Z131" s="4">
        <f t="shared" si="26"/>
        <v>3.0817552007999636</v>
      </c>
      <c r="AA131" s="4">
        <f t="shared" si="27"/>
        <v>0.12121339030750285</v>
      </c>
      <c r="AB131" s="4">
        <f t="shared" si="28"/>
        <v>4.3631809634101213</v>
      </c>
      <c r="AC131" s="4">
        <f t="shared" si="29"/>
        <v>2.8045292064215301</v>
      </c>
      <c r="AD131" s="4">
        <f t="shared" si="30"/>
        <v>2.2688898751593981E-3</v>
      </c>
    </row>
    <row r="132" spans="2:30">
      <c r="B132" s="229" t="s">
        <v>106</v>
      </c>
      <c r="C132" s="229"/>
      <c r="D132" s="229"/>
      <c r="E132" s="220"/>
      <c r="F132" s="229"/>
      <c r="G132" s="229"/>
      <c r="H132" s="229">
        <v>0.85616000000000003</v>
      </c>
      <c r="I132" s="229">
        <v>-0.78398999999999996</v>
      </c>
      <c r="J132" s="229">
        <v>0.89398999999999995</v>
      </c>
      <c r="K132" s="229">
        <v>-0.66896</v>
      </c>
      <c r="L132" s="229">
        <v>-0.76510999999999996</v>
      </c>
      <c r="M132" s="229">
        <v>0.60853999999999997</v>
      </c>
      <c r="N132" s="229">
        <v>-1.9272499999999999</v>
      </c>
      <c r="O132" s="229">
        <v>-1.0239100000000001</v>
      </c>
      <c r="P132" s="229">
        <v>0.13247999999999999</v>
      </c>
      <c r="Q132" s="230">
        <v>-0.23465</v>
      </c>
      <c r="S132" s="198" t="str">
        <f t="shared" ca="1" si="19"/>
        <v>=X64</v>
      </c>
      <c r="T132" s="196">
        <f t="shared" si="20"/>
        <v>-0.44524178240782442</v>
      </c>
      <c r="U132" s="4">
        <f t="shared" si="21"/>
        <v>1.6936465992542626</v>
      </c>
      <c r="V132" s="4">
        <f t="shared" si="22"/>
        <v>0.11475035492187591</v>
      </c>
      <c r="W132" s="4">
        <f t="shared" si="23"/>
        <v>1.7935417670112381</v>
      </c>
      <c r="X132" s="4">
        <f t="shared" si="24"/>
        <v>5.0049840882620024E-2</v>
      </c>
      <c r="Y132" s="4">
        <f t="shared" si="25"/>
        <v>0.10231567662559536</v>
      </c>
      <c r="Z132" s="4">
        <f t="shared" si="26"/>
        <v>1.1104560449346113</v>
      </c>
      <c r="AA132" s="4">
        <f t="shared" si="27"/>
        <v>2.1963483570107365</v>
      </c>
      <c r="AB132" s="4">
        <f t="shared" si="28"/>
        <v>0.33485690605130558</v>
      </c>
      <c r="AC132" s="4">
        <f t="shared" si="29"/>
        <v>0.33376245786847369</v>
      </c>
      <c r="AD132" s="4">
        <f t="shared" si="30"/>
        <v>4.4348898817704464E-2</v>
      </c>
    </row>
    <row r="133" spans="2:30" ht="16.5">
      <c r="D133" s="106"/>
      <c r="E133" s="229"/>
      <c r="S133" t="s">
        <v>166</v>
      </c>
      <c r="U133" s="241">
        <f>SUM(U121:U132)</f>
        <v>15.239362644173632</v>
      </c>
      <c r="V133" s="241">
        <f t="shared" ref="V133:AD133" si="31">SUM(V121:V132)</f>
        <v>23.258958962071251</v>
      </c>
      <c r="W133" s="241">
        <f t="shared" si="31"/>
        <v>22.961105910941999</v>
      </c>
      <c r="X133" s="241">
        <f t="shared" si="31"/>
        <v>33.920631474203056</v>
      </c>
      <c r="Y133" s="241">
        <f t="shared" si="31"/>
        <v>12.924061637316576</v>
      </c>
      <c r="Z133" s="241">
        <f t="shared" si="31"/>
        <v>26.723525303534469</v>
      </c>
      <c r="AA133" s="241">
        <f t="shared" si="31"/>
        <v>29.777877840699482</v>
      </c>
      <c r="AB133" s="241">
        <f t="shared" si="31"/>
        <v>28.534206868563579</v>
      </c>
      <c r="AC133" s="241">
        <f t="shared" si="31"/>
        <v>18.74695395193492</v>
      </c>
      <c r="AD133" s="241">
        <f t="shared" si="31"/>
        <v>14.707220538349841</v>
      </c>
    </row>
    <row r="134" spans="2:30" ht="15.75">
      <c r="D134" s="106"/>
      <c r="S134" s="34" t="s">
        <v>167</v>
      </c>
      <c r="U134" s="4">
        <f>1-($T137/U133)</f>
        <v>0.15192899210533906</v>
      </c>
      <c r="V134" s="4">
        <f t="shared" ref="V134:AD134" si="32">1-($T137/V133)</f>
        <v>0.44434049441369894</v>
      </c>
      <c r="W134" s="4">
        <f t="shared" si="32"/>
        <v>0.43713244094407144</v>
      </c>
      <c r="X134" s="4">
        <f t="shared" si="32"/>
        <v>0.61899112499879494</v>
      </c>
      <c r="Y134" s="4">
        <f t="shared" si="32"/>
        <v>0</v>
      </c>
      <c r="Z134" s="4">
        <f t="shared" si="32"/>
        <v>0.5163788650441552</v>
      </c>
      <c r="AA134" s="4">
        <f t="shared" si="32"/>
        <v>0.56598446314893636</v>
      </c>
      <c r="AB134" s="4">
        <f t="shared" si="32"/>
        <v>0.54706778089720998</v>
      </c>
      <c r="AC134" s="4">
        <f t="shared" si="32"/>
        <v>0.31060471634739084</v>
      </c>
      <c r="AD134" s="4">
        <f t="shared" si="32"/>
        <v>0.12124377249824903</v>
      </c>
    </row>
    <row r="135" spans="2:30" ht="15.75">
      <c r="D135" s="106"/>
      <c r="S135" t="s">
        <v>168</v>
      </c>
      <c r="U135" s="114" t="str">
        <f t="shared" ref="U135" si="33">IF(U134 &gt; 0.2, "Above Threshold", "Below Threshold")</f>
        <v>Below Threshold</v>
      </c>
      <c r="V135" s="114" t="str">
        <f t="shared" ref="V135" si="34">IF(V134 &gt; 0.2, "Above Threshold", "Below Threshold")</f>
        <v>Above Threshold</v>
      </c>
      <c r="W135" s="114" t="str">
        <f t="shared" ref="W135" si="35">IF(W134 &gt; 0.2, "Above Threshold", "Below Threshold")</f>
        <v>Above Threshold</v>
      </c>
      <c r="X135" s="114" t="str">
        <f t="shared" ref="X135" si="36">IF(X134 &gt; 0.2, "Above Threshold", "Below Threshold")</f>
        <v>Above Threshold</v>
      </c>
      <c r="Y135" s="114" t="str">
        <f t="shared" ref="Y135" si="37">IF(Y134 &gt; 0.2, "Above Threshold", "Below Threshold")</f>
        <v>Below Threshold</v>
      </c>
      <c r="Z135" s="114" t="str">
        <f t="shared" ref="Z135" si="38">IF(Z134 &gt; 0.2, "Above Threshold", "Below Threshold")</f>
        <v>Above Threshold</v>
      </c>
      <c r="AA135" s="114" t="str">
        <f t="shared" ref="AA135" si="39">IF(AA134 &gt; 0.2, "Above Threshold", "Below Threshold")</f>
        <v>Above Threshold</v>
      </c>
      <c r="AB135" s="114" t="str">
        <f t="shared" ref="AB135" si="40">IF(AB134 &gt; 0.2, "Above Threshold", "Below Threshold")</f>
        <v>Above Threshold</v>
      </c>
      <c r="AC135" s="114" t="str">
        <f t="shared" ref="AC135" si="41">IF(AC134 &gt; 0.2, "Above Threshold", "Below Threshold")</f>
        <v>Above Threshold</v>
      </c>
      <c r="AD135" s="114" t="str">
        <f t="shared" ref="AD135" si="42">IF(AD134 &gt; 0.2, "Above Threshold", "Below Threshold")</f>
        <v>Below Threshold</v>
      </c>
    </row>
    <row r="136" spans="2:30" ht="16.5">
      <c r="D136" s="106"/>
      <c r="S136" s="234"/>
      <c r="T136" s="234"/>
      <c r="U136" s="235"/>
      <c r="V136" s="241"/>
      <c r="W136" s="201"/>
      <c r="X136" s="164"/>
      <c r="Y136" s="164"/>
      <c r="Z136" s="164"/>
    </row>
    <row r="137" spans="2:30" ht="24">
      <c r="D137" s="106"/>
      <c r="S137" s="238" t="s">
        <v>169</v>
      </c>
      <c r="T137" s="239">
        <f>MIN(U133:AD133)</f>
        <v>12.924061637316576</v>
      </c>
      <c r="U137" s="239" t="str">
        <f>INDEX($U$120:$AD$120, MATCH(MIN($U$133:$AD$133), $U$133:$AD$133, 0))</f>
        <v>Price Populists</v>
      </c>
      <c r="V137" s="240"/>
      <c r="W137" s="240"/>
      <c r="X137" s="164"/>
      <c r="Y137" s="164"/>
      <c r="Z137" s="164"/>
    </row>
    <row r="138" spans="2:30" ht="24">
      <c r="D138" s="106"/>
      <c r="S138" s="236" t="s">
        <v>170</v>
      </c>
      <c r="T138" s="237">
        <f>SMALL(U133:AD133, 2)</f>
        <v>14.707220538349841</v>
      </c>
      <c r="U138" s="237" t="str">
        <f>INDEX($U$120:$AD$120, MATCH(SMALL($U$133:$AD$133, 2), $U$133:$AD$133, 0))</f>
        <v>Trust The Science Pragmatists</v>
      </c>
      <c r="V138" s="240"/>
      <c r="W138" s="240"/>
      <c r="X138" s="164"/>
      <c r="Y138" s="164"/>
      <c r="Z138" s="164"/>
    </row>
    <row r="139" spans="2:30" ht="24">
      <c r="D139" s="106"/>
      <c r="S139" s="208"/>
      <c r="T139" s="209"/>
      <c r="U139" s="209"/>
      <c r="V139" s="209"/>
      <c r="W139" s="209"/>
      <c r="X139" s="164"/>
      <c r="Y139" s="164"/>
      <c r="Z139" s="164"/>
    </row>
    <row r="140" spans="2:30" ht="22.5">
      <c r="B140" s="296" t="s">
        <v>182</v>
      </c>
      <c r="D140" s="106"/>
      <c r="U140" s="164"/>
      <c r="V140" s="164"/>
      <c r="W140" s="164"/>
      <c r="X140" s="164"/>
      <c r="Y140" s="164"/>
      <c r="Z140" s="164"/>
    </row>
    <row r="141" spans="2:30" ht="15.75">
      <c r="D141" s="106"/>
      <c r="U141" s="164"/>
      <c r="V141" s="164"/>
      <c r="W141" s="164"/>
      <c r="X141" s="164"/>
      <c r="Y141" s="164"/>
      <c r="Z141" s="164"/>
    </row>
    <row r="142" spans="2:30" ht="15.75">
      <c r="D142" s="106"/>
      <c r="U142" s="164"/>
      <c r="V142" s="164"/>
      <c r="W142" s="164"/>
      <c r="X142" s="164"/>
      <c r="Y142" s="164"/>
      <c r="Z142" s="164"/>
    </row>
    <row r="143" spans="2:30" ht="27.75">
      <c r="B143" s="185" t="s">
        <v>183</v>
      </c>
      <c r="C143" s="186"/>
      <c r="D143" s="194"/>
      <c r="F143" s="186"/>
      <c r="G143" s="186"/>
      <c r="H143" s="186"/>
      <c r="I143" s="186"/>
      <c r="J143" s="186"/>
      <c r="K143" s="186"/>
      <c r="L143" s="206" t="s">
        <v>146</v>
      </c>
      <c r="M143" s="206" t="s">
        <v>147</v>
      </c>
      <c r="N143" s="206" t="s">
        <v>148</v>
      </c>
      <c r="O143" s="206" t="s">
        <v>149</v>
      </c>
      <c r="P143" s="206" t="s">
        <v>150</v>
      </c>
      <c r="Q143" s="207" t="s">
        <v>151</v>
      </c>
      <c r="U143" s="16" t="s">
        <v>146</v>
      </c>
      <c r="V143" s="16" t="s">
        <v>147</v>
      </c>
      <c r="W143" s="16" t="s">
        <v>148</v>
      </c>
      <c r="X143" s="16" t="s">
        <v>149</v>
      </c>
      <c r="Y143" s="16" t="s">
        <v>150</v>
      </c>
      <c r="Z143" s="16" t="s">
        <v>151</v>
      </c>
    </row>
    <row r="144" spans="2:30" ht="15.75">
      <c r="B144" s="187"/>
      <c r="C144" s="183"/>
      <c r="D144" s="195"/>
      <c r="E144" s="186"/>
      <c r="F144" s="183"/>
      <c r="G144" s="183"/>
      <c r="H144" s="183"/>
      <c r="I144" s="183"/>
      <c r="J144" s="183" t="s">
        <v>184</v>
      </c>
      <c r="K144" s="183"/>
      <c r="L144" s="183">
        <v>-0.19700000000000001</v>
      </c>
      <c r="M144" s="183">
        <v>0.20300000000000001</v>
      </c>
      <c r="N144" s="183">
        <v>-0.221</v>
      </c>
      <c r="O144" s="183">
        <v>-0.186</v>
      </c>
      <c r="P144" s="183">
        <v>-0.54500000000000004</v>
      </c>
      <c r="Q144" s="190">
        <v>1</v>
      </c>
      <c r="U144" s="183">
        <v>-0.19700000000000001</v>
      </c>
      <c r="V144" s="183">
        <v>0.20300000000000001</v>
      </c>
      <c r="W144" s="183">
        <v>-0.221</v>
      </c>
      <c r="X144" s="183">
        <v>-0.186</v>
      </c>
      <c r="Y144" s="183">
        <v>-0.54500000000000004</v>
      </c>
      <c r="Z144" s="15">
        <v>0</v>
      </c>
      <c r="AA144" s="197"/>
    </row>
    <row r="145" spans="2:29" ht="15.75">
      <c r="B145" s="187"/>
      <c r="C145" s="183"/>
      <c r="D145" s="195"/>
      <c r="E145" s="183"/>
      <c r="F145" s="183"/>
      <c r="G145" s="183"/>
      <c r="H145" s="183"/>
      <c r="I145" s="183"/>
      <c r="J145" s="183" t="s">
        <v>162</v>
      </c>
      <c r="K145" s="183"/>
      <c r="L145" s="183">
        <v>0.38</v>
      </c>
      <c r="M145" s="183">
        <v>-0.46</v>
      </c>
      <c r="N145" s="183">
        <v>-0.88</v>
      </c>
      <c r="O145" s="183">
        <v>-0.53600000000000003</v>
      </c>
      <c r="P145" s="183">
        <v>-1.2929999999999999</v>
      </c>
      <c r="Q145" s="190"/>
      <c r="S145" s="198" t="str">
        <f t="shared" ref="S145:S157" ca="1" si="43">_xlfn.FORMULATEXT(T145)</f>
        <v>=X71</v>
      </c>
      <c r="T145" s="157">
        <f>X71</f>
        <v>0.43854757190369487</v>
      </c>
      <c r="U145" s="183">
        <v>0.38</v>
      </c>
      <c r="V145" s="183">
        <v>-0.46</v>
      </c>
      <c r="W145" s="183">
        <v>-0.88</v>
      </c>
      <c r="X145" s="183">
        <v>-0.53600000000000003</v>
      </c>
      <c r="Y145" s="183">
        <v>-1.2929999999999999</v>
      </c>
      <c r="Z145" s="15">
        <f t="shared" ref="Z145:Z157" si="44">$T145*Q145</f>
        <v>0</v>
      </c>
      <c r="AA145" s="197"/>
    </row>
    <row r="146" spans="2:29" ht="15.75">
      <c r="B146" s="187"/>
      <c r="C146" s="183"/>
      <c r="D146" s="195"/>
      <c r="E146" s="183"/>
      <c r="F146" s="183"/>
      <c r="G146" s="183"/>
      <c r="H146" s="183"/>
      <c r="I146" s="183"/>
      <c r="J146" s="183" t="s">
        <v>163</v>
      </c>
      <c r="K146" s="183"/>
      <c r="L146" s="183">
        <v>-0.31900000000000001</v>
      </c>
      <c r="M146" s="183">
        <v>-0.70099999999999996</v>
      </c>
      <c r="N146" s="183">
        <v>-0.91</v>
      </c>
      <c r="O146" s="183">
        <v>-0.9</v>
      </c>
      <c r="P146" s="183">
        <v>-0.54700000000000004</v>
      </c>
      <c r="Q146" s="190"/>
      <c r="S146" s="198" t="str">
        <f t="shared" ca="1" si="43"/>
        <v>=X69</v>
      </c>
      <c r="T146" s="157">
        <f>X69</f>
        <v>-1.2071102749156046</v>
      </c>
      <c r="U146" s="183">
        <v>-0.31900000000000001</v>
      </c>
      <c r="V146" s="183">
        <v>-0.70099999999999996</v>
      </c>
      <c r="W146" s="183">
        <v>-0.91</v>
      </c>
      <c r="X146" s="183">
        <v>-0.9</v>
      </c>
      <c r="Y146" s="183">
        <v>-0.54700000000000004</v>
      </c>
      <c r="Z146" s="15">
        <f t="shared" si="44"/>
        <v>0</v>
      </c>
      <c r="AA146" s="197"/>
    </row>
    <row r="147" spans="2:29" ht="15.75">
      <c r="B147" s="187"/>
      <c r="C147" s="183"/>
      <c r="D147" s="195"/>
      <c r="E147" s="183"/>
      <c r="F147" s="183"/>
      <c r="G147" s="183"/>
      <c r="H147" s="183"/>
      <c r="I147" s="183"/>
      <c r="J147" s="183" t="s">
        <v>164</v>
      </c>
      <c r="K147" s="183"/>
      <c r="L147" s="183">
        <v>0.03</v>
      </c>
      <c r="M147" s="183">
        <v>-1.9E-2</v>
      </c>
      <c r="N147" s="183">
        <v>-0.61399999999999999</v>
      </c>
      <c r="O147" s="183">
        <v>-0.76300000000000001</v>
      </c>
      <c r="P147" s="183">
        <v>-0.55900000000000005</v>
      </c>
      <c r="Q147" s="190"/>
      <c r="S147" s="198" t="str">
        <f t="shared" ca="1" si="43"/>
        <v>=X75</v>
      </c>
      <c r="T147" s="157">
        <f>X75</f>
        <v>-1.5649830181036366</v>
      </c>
      <c r="U147" s="183">
        <v>0.03</v>
      </c>
      <c r="V147" s="183">
        <v>-1.9E-2</v>
      </c>
      <c r="W147" s="183">
        <v>-0.61399999999999999</v>
      </c>
      <c r="X147" s="183">
        <v>-0.76300000000000001</v>
      </c>
      <c r="Y147" s="183">
        <v>-0.55900000000000005</v>
      </c>
      <c r="Z147" s="15">
        <f t="shared" si="44"/>
        <v>0</v>
      </c>
    </row>
    <row r="148" spans="2:29" ht="15.75">
      <c r="B148" s="187"/>
      <c r="C148" s="183"/>
      <c r="D148" s="195"/>
      <c r="E148" s="183"/>
      <c r="F148" s="183"/>
      <c r="G148" s="183"/>
      <c r="H148" s="183"/>
      <c r="I148" s="183"/>
      <c r="J148" s="183" t="s">
        <v>165</v>
      </c>
      <c r="K148" s="183"/>
      <c r="L148" s="183">
        <v>0.63500000000000001</v>
      </c>
      <c r="M148" s="183">
        <v>0.26800000000000002</v>
      </c>
      <c r="N148" s="183">
        <v>0.41199999999999998</v>
      </c>
      <c r="O148" s="183">
        <v>-2.1000000000000001E-2</v>
      </c>
      <c r="P148" s="183">
        <v>9.1999999999999998E-2</v>
      </c>
      <c r="Q148" s="190"/>
      <c r="S148" s="198" t="str">
        <f t="shared" ca="1" si="43"/>
        <v>=X77</v>
      </c>
      <c r="T148" s="157">
        <f>X77</f>
        <v>-2.5760780166842911</v>
      </c>
      <c r="U148" s="183">
        <v>0.63500000000000001</v>
      </c>
      <c r="V148" s="183">
        <v>0.26800000000000002</v>
      </c>
      <c r="W148" s="183">
        <v>0.41199999999999998</v>
      </c>
      <c r="X148" s="183">
        <v>-2.1000000000000001E-2</v>
      </c>
      <c r="Y148" s="183">
        <v>9.1999999999999998E-2</v>
      </c>
      <c r="Z148" s="15">
        <f t="shared" si="44"/>
        <v>0</v>
      </c>
    </row>
    <row r="149" spans="2:29" ht="15.75">
      <c r="B149" s="187"/>
      <c r="C149" s="183"/>
      <c r="D149" s="195"/>
      <c r="E149" s="183"/>
      <c r="F149" s="183"/>
      <c r="G149" s="183"/>
      <c r="H149" s="183"/>
      <c r="I149" s="183"/>
      <c r="J149" s="183"/>
      <c r="K149" s="183" t="s">
        <v>152</v>
      </c>
      <c r="L149" s="183">
        <v>4.2999999999999997E-2</v>
      </c>
      <c r="M149" s="183">
        <v>0.68400000000000005</v>
      </c>
      <c r="N149" s="183">
        <v>0.79800000000000004</v>
      </c>
      <c r="O149" s="183">
        <v>1.772</v>
      </c>
      <c r="P149" s="183">
        <v>1.7130000000000001</v>
      </c>
      <c r="Q149" s="190"/>
      <c r="S149" s="198" t="str">
        <f t="shared" ca="1" si="43"/>
        <v>=X38</v>
      </c>
      <c r="T149" s="196">
        <f>X38</f>
        <v>2.4291878624730305</v>
      </c>
      <c r="U149" s="183">
        <v>4.2999999999999997E-2</v>
      </c>
      <c r="V149" s="183">
        <v>0.68400000000000005</v>
      </c>
      <c r="W149" s="183">
        <v>0.79800000000000004</v>
      </c>
      <c r="X149" s="183">
        <v>1.772</v>
      </c>
      <c r="Y149" s="183">
        <v>1.7130000000000001</v>
      </c>
      <c r="Z149" s="15">
        <f t="shared" si="44"/>
        <v>0</v>
      </c>
    </row>
    <row r="150" spans="2:29" ht="15.75">
      <c r="B150" s="187"/>
      <c r="C150" s="183"/>
      <c r="D150" s="195"/>
      <c r="E150" s="183"/>
      <c r="F150" s="183"/>
      <c r="G150" s="183"/>
      <c r="H150" s="183"/>
      <c r="I150" s="183"/>
      <c r="J150" s="183"/>
      <c r="K150" s="183" t="s">
        <v>153</v>
      </c>
      <c r="L150" s="183">
        <v>-0.33300000000000002</v>
      </c>
      <c r="M150" s="183">
        <v>-0.47899999999999998</v>
      </c>
      <c r="N150" s="183">
        <v>-0.38</v>
      </c>
      <c r="O150" s="183">
        <v>1.1060000000000001</v>
      </c>
      <c r="P150" s="183">
        <v>8.0000000000000002E-3</v>
      </c>
      <c r="Q150" s="190"/>
      <c r="S150" s="198" t="str">
        <f t="shared" ca="1" si="43"/>
        <v>=X39</v>
      </c>
      <c r="T150" s="196">
        <f t="shared" ref="T150:T157" si="45">X39</f>
        <v>0.21232591109999163</v>
      </c>
      <c r="U150" s="183">
        <v>-0.33300000000000002</v>
      </c>
      <c r="V150" s="183">
        <v>-0.47899999999999998</v>
      </c>
      <c r="W150" s="183">
        <v>-0.38</v>
      </c>
      <c r="X150" s="183">
        <v>1.1060000000000001</v>
      </c>
      <c r="Y150" s="183">
        <v>8.0000000000000002E-3</v>
      </c>
      <c r="Z150" s="15">
        <f t="shared" si="44"/>
        <v>0</v>
      </c>
    </row>
    <row r="151" spans="2:29" ht="15.75">
      <c r="B151" s="187"/>
      <c r="C151" s="183"/>
      <c r="D151" s="195"/>
      <c r="E151" s="183"/>
      <c r="F151" s="183"/>
      <c r="G151" s="183"/>
      <c r="H151" s="183"/>
      <c r="I151" s="183"/>
      <c r="J151" s="183"/>
      <c r="K151" s="183" t="s">
        <v>154</v>
      </c>
      <c r="L151" s="183">
        <v>0.189</v>
      </c>
      <c r="M151" s="183">
        <v>0.43099999999999999</v>
      </c>
      <c r="N151" s="183">
        <v>0.66800000000000004</v>
      </c>
      <c r="O151" s="183">
        <v>3.4950000000000001</v>
      </c>
      <c r="P151" s="183">
        <v>0.80400000000000005</v>
      </c>
      <c r="Q151" s="190"/>
      <c r="S151" s="198" t="str">
        <f t="shared" ca="1" si="43"/>
        <v>=X40</v>
      </c>
      <c r="T151" s="196">
        <f t="shared" si="45"/>
        <v>1.5789301702447469</v>
      </c>
      <c r="U151" s="183">
        <v>0.189</v>
      </c>
      <c r="V151" s="183">
        <v>0.43099999999999999</v>
      </c>
      <c r="W151" s="183">
        <v>0.66800000000000004</v>
      </c>
      <c r="X151" s="183">
        <v>3.4950000000000001</v>
      </c>
      <c r="Y151" s="183">
        <v>0.80400000000000005</v>
      </c>
      <c r="Z151" s="15">
        <f t="shared" si="44"/>
        <v>0</v>
      </c>
    </row>
    <row r="152" spans="2:29" ht="15.75">
      <c r="B152" s="187"/>
      <c r="C152" s="183"/>
      <c r="D152" s="195"/>
      <c r="E152" s="183"/>
      <c r="F152" s="183"/>
      <c r="G152" s="183"/>
      <c r="H152" s="183"/>
      <c r="I152" s="183"/>
      <c r="J152" s="183"/>
      <c r="K152" s="183" t="s">
        <v>155</v>
      </c>
      <c r="L152" s="183">
        <v>1.107</v>
      </c>
      <c r="M152" s="183">
        <v>0.66600000000000004</v>
      </c>
      <c r="N152" s="183">
        <v>1.6180000000000001</v>
      </c>
      <c r="O152" s="183">
        <v>2.5139999999999998</v>
      </c>
      <c r="P152" s="183">
        <v>0.38800000000000001</v>
      </c>
      <c r="Q152" s="190"/>
      <c r="S152" s="198" t="str">
        <f t="shared" ca="1" si="43"/>
        <v>=X41</v>
      </c>
      <c r="T152" s="196">
        <f t="shared" si="45"/>
        <v>-0.9175560110255141</v>
      </c>
      <c r="U152" s="183">
        <v>1.107</v>
      </c>
      <c r="V152" s="183">
        <v>0.66600000000000004</v>
      </c>
      <c r="W152" s="183">
        <v>1.6180000000000001</v>
      </c>
      <c r="X152" s="183">
        <v>2.5139999999999998</v>
      </c>
      <c r="Y152" s="183">
        <v>0.38800000000000001</v>
      </c>
      <c r="Z152" s="15">
        <f t="shared" si="44"/>
        <v>0</v>
      </c>
    </row>
    <row r="153" spans="2:29" ht="15.75">
      <c r="B153" s="187"/>
      <c r="C153" s="183"/>
      <c r="D153" s="195"/>
      <c r="E153" s="183"/>
      <c r="F153" s="183"/>
      <c r="G153" s="183"/>
      <c r="H153" s="183"/>
      <c r="I153" s="183"/>
      <c r="J153" s="183"/>
      <c r="K153" s="183" t="s">
        <v>156</v>
      </c>
      <c r="L153" s="183">
        <v>0.64800000000000002</v>
      </c>
      <c r="M153" s="183">
        <v>0.70499999999999996</v>
      </c>
      <c r="N153" s="183">
        <v>0.56799999999999995</v>
      </c>
      <c r="O153" s="183">
        <v>1.7070000000000001</v>
      </c>
      <c r="P153" s="183">
        <v>-2.9380000000000002</v>
      </c>
      <c r="Q153" s="190"/>
      <c r="S153" s="198" t="str">
        <f t="shared" ca="1" si="43"/>
        <v>=X42</v>
      </c>
      <c r="T153" s="196">
        <f t="shared" si="45"/>
        <v>-2.2567967414791337</v>
      </c>
      <c r="U153" s="183">
        <v>0.64800000000000002</v>
      </c>
      <c r="V153" s="183">
        <v>0.70499999999999996</v>
      </c>
      <c r="W153" s="183">
        <v>0.56799999999999995</v>
      </c>
      <c r="X153" s="183">
        <v>1.7070000000000001</v>
      </c>
      <c r="Y153" s="183">
        <v>-2.9380000000000002</v>
      </c>
      <c r="Z153" s="15">
        <f t="shared" si="44"/>
        <v>0</v>
      </c>
    </row>
    <row r="154" spans="2:29" ht="15.75">
      <c r="B154" s="187"/>
      <c r="C154" s="183"/>
      <c r="D154" s="195"/>
      <c r="E154" s="183"/>
      <c r="F154" s="183"/>
      <c r="G154" s="183"/>
      <c r="H154" s="183"/>
      <c r="I154" s="183"/>
      <c r="J154" s="183"/>
      <c r="K154" s="183" t="s">
        <v>157</v>
      </c>
      <c r="L154" s="183">
        <v>-0.22700000000000001</v>
      </c>
      <c r="M154" s="183">
        <v>0.59699999999999998</v>
      </c>
      <c r="N154" s="183">
        <v>0.79900000000000004</v>
      </c>
      <c r="O154" s="183">
        <v>1.016</v>
      </c>
      <c r="P154" s="183">
        <v>-0.41</v>
      </c>
      <c r="Q154" s="190"/>
      <c r="S154" s="198" t="str">
        <f t="shared" ca="1" si="43"/>
        <v>=X43</v>
      </c>
      <c r="T154" s="196">
        <f t="shared" si="45"/>
        <v>2.1833969503787043</v>
      </c>
      <c r="U154" s="183">
        <v>-0.22700000000000001</v>
      </c>
      <c r="V154" s="183">
        <v>0.59699999999999998</v>
      </c>
      <c r="W154" s="183">
        <v>0.79900000000000004</v>
      </c>
      <c r="X154" s="183">
        <v>1.016</v>
      </c>
      <c r="Y154" s="183">
        <v>-0.41</v>
      </c>
      <c r="Z154" s="15">
        <f t="shared" si="44"/>
        <v>0</v>
      </c>
    </row>
    <row r="155" spans="2:29" ht="15.75">
      <c r="B155" s="187"/>
      <c r="C155" s="183"/>
      <c r="D155" s="195"/>
      <c r="E155" s="183"/>
      <c r="F155" s="183"/>
      <c r="G155" s="183"/>
      <c r="H155" s="183"/>
      <c r="I155" s="183"/>
      <c r="J155" s="183"/>
      <c r="K155" s="183" t="s">
        <v>158</v>
      </c>
      <c r="L155" s="183">
        <v>0.53800000000000003</v>
      </c>
      <c r="M155" s="183">
        <v>1.377</v>
      </c>
      <c r="N155" s="183">
        <v>0.59</v>
      </c>
      <c r="O155" s="183">
        <v>0.751</v>
      </c>
      <c r="P155" s="183">
        <v>-0.23300000000000001</v>
      </c>
      <c r="Q155" s="190"/>
      <c r="S155" s="198" t="str">
        <f t="shared" ca="1" si="43"/>
        <v>=X44</v>
      </c>
      <c r="T155" s="196">
        <f t="shared" si="45"/>
        <v>-0.15281530709121449</v>
      </c>
      <c r="U155" s="183">
        <v>0.53800000000000003</v>
      </c>
      <c r="V155" s="183">
        <v>1.377</v>
      </c>
      <c r="W155" s="183">
        <v>0.59</v>
      </c>
      <c r="X155" s="183">
        <v>0.751</v>
      </c>
      <c r="Y155" s="183">
        <v>-0.23300000000000001</v>
      </c>
      <c r="Z155" s="15">
        <f t="shared" si="44"/>
        <v>0</v>
      </c>
    </row>
    <row r="156" spans="2:29" ht="15.75">
      <c r="B156" s="187"/>
      <c r="C156" s="183"/>
      <c r="D156" s="195"/>
      <c r="E156" s="183"/>
      <c r="F156" s="183"/>
      <c r="G156" s="183"/>
      <c r="H156" s="183"/>
      <c r="I156" s="183"/>
      <c r="J156" s="183"/>
      <c r="K156" s="183" t="s">
        <v>159</v>
      </c>
      <c r="L156" s="183">
        <v>0.42899999999999999</v>
      </c>
      <c r="M156" s="183">
        <v>-0.156</v>
      </c>
      <c r="N156" s="183">
        <v>-2.3E-2</v>
      </c>
      <c r="O156" s="183">
        <v>-0.33700000000000002</v>
      </c>
      <c r="P156" s="183">
        <v>-0.2</v>
      </c>
      <c r="Q156" s="190"/>
      <c r="S156" s="198" t="str">
        <f t="shared" ca="1" si="43"/>
        <v>=X45</v>
      </c>
      <c r="T156" s="196">
        <f t="shared" si="45"/>
        <v>-2.7076685945591659</v>
      </c>
      <c r="U156" s="183">
        <v>0.42899999999999999</v>
      </c>
      <c r="V156" s="183">
        <v>-0.156</v>
      </c>
      <c r="W156" s="183">
        <v>-2.3E-2</v>
      </c>
      <c r="X156" s="183">
        <v>-0.33700000000000002</v>
      </c>
      <c r="Y156" s="183">
        <v>-0.2</v>
      </c>
      <c r="Z156" s="15">
        <f t="shared" si="44"/>
        <v>0</v>
      </c>
    </row>
    <row r="157" spans="2:29" ht="15.75">
      <c r="B157" s="187"/>
      <c r="C157" s="183"/>
      <c r="D157" s="195"/>
      <c r="E157" s="183"/>
      <c r="F157" s="183"/>
      <c r="G157" s="183"/>
      <c r="H157" s="183"/>
      <c r="I157" s="183"/>
      <c r="J157" s="183"/>
      <c r="K157" s="183" t="s">
        <v>160</v>
      </c>
      <c r="L157" s="183">
        <v>4.9000000000000002E-2</v>
      </c>
      <c r="M157" s="183">
        <v>3.0350000000000001</v>
      </c>
      <c r="N157" s="183">
        <v>1.486</v>
      </c>
      <c r="O157" s="183">
        <v>2.6160000000000001</v>
      </c>
      <c r="P157" s="183">
        <v>0.52200000000000002</v>
      </c>
      <c r="Q157" s="190"/>
      <c r="S157" s="198" t="str">
        <f t="shared" ca="1" si="43"/>
        <v>=X46</v>
      </c>
      <c r="T157" s="196">
        <f t="shared" si="45"/>
        <v>-0.88069721036565218</v>
      </c>
      <c r="U157" s="183">
        <v>4.9000000000000002E-2</v>
      </c>
      <c r="V157" s="183">
        <v>3.0350000000000001</v>
      </c>
      <c r="W157" s="183">
        <v>1.486</v>
      </c>
      <c r="X157" s="183">
        <v>2.6160000000000001</v>
      </c>
      <c r="Y157" s="183">
        <v>0.52200000000000002</v>
      </c>
      <c r="Z157" s="15">
        <f t="shared" si="44"/>
        <v>0</v>
      </c>
      <c r="AB157" s="31"/>
      <c r="AC157" s="31"/>
    </row>
    <row r="158" spans="2:29">
      <c r="B158" s="187"/>
      <c r="C158" s="183"/>
      <c r="D158" s="183"/>
      <c r="E158" s="183"/>
      <c r="F158" s="183"/>
      <c r="G158" s="183"/>
      <c r="H158" s="183"/>
      <c r="I158" s="183"/>
      <c r="J158" s="183"/>
      <c r="K158" s="183" t="s">
        <v>161</v>
      </c>
      <c r="L158" s="183" t="s">
        <v>185</v>
      </c>
      <c r="M158" s="183" t="s">
        <v>185</v>
      </c>
      <c r="N158" s="183" t="s">
        <v>185</v>
      </c>
      <c r="O158" s="183" t="s">
        <v>185</v>
      </c>
      <c r="P158" s="183" t="s">
        <v>185</v>
      </c>
      <c r="Q158" s="190"/>
      <c r="S158" s="199" t="s">
        <v>186</v>
      </c>
      <c r="T158" s="210"/>
      <c r="U158" s="15"/>
      <c r="V158" s="15"/>
      <c r="W158" s="15"/>
      <c r="X158" s="15"/>
      <c r="Y158" s="15"/>
      <c r="Z158" s="15" t="s">
        <v>187</v>
      </c>
      <c r="AB158" s="31"/>
      <c r="AC158" s="31"/>
    </row>
    <row r="159" spans="2:29" ht="16.5">
      <c r="B159" s="191"/>
      <c r="C159" s="192"/>
      <c r="D159" s="192"/>
      <c r="E159" s="183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3"/>
      <c r="T159" s="200" t="s">
        <v>188</v>
      </c>
      <c r="U159" s="212">
        <f>SUMPRODUCT($T$144:$T$158, U$144:U$158)</f>
        <v>-5.0596029502584132</v>
      </c>
      <c r="V159" s="212">
        <f>SUMPRODUCT($T$144:$T$158, V$144:V$158)</f>
        <v>-1.1354149588799611</v>
      </c>
      <c r="W159" s="212">
        <f>SUMPRODUCT($T$144:$T$158, W$144:W$158)</f>
        <v>1.1661046191394671</v>
      </c>
      <c r="X159" s="212">
        <f>SUMPRODUCT($T$144:$T$158, X$144:X$158)</f>
        <v>6.7102912956174308</v>
      </c>
      <c r="Y159" s="212">
        <f>SUMPRODUCT($T$144:$T$158, Y$144:Y$158)</f>
        <v>11.660110998259958</v>
      </c>
      <c r="Z159" s="212">
        <f>SUM(Z144:Z157)</f>
        <v>0</v>
      </c>
      <c r="AB159" s="72"/>
      <c r="AC159" s="72"/>
    </row>
    <row r="160" spans="2:29" ht="28.5" customHeight="1" thickBot="1">
      <c r="E160" s="192"/>
      <c r="T160" s="200" t="s">
        <v>189</v>
      </c>
      <c r="U160" s="213">
        <f>EXP(U159)</f>
        <v>6.3480795159241042E-3</v>
      </c>
      <c r="V160" s="213">
        <f t="shared" ref="V160:Z160" si="46">EXP(V159)</f>
        <v>0.32128877204007805</v>
      </c>
      <c r="W160" s="213">
        <f t="shared" si="46"/>
        <v>3.2094661636066433</v>
      </c>
      <c r="X160" s="213">
        <f t="shared" si="46"/>
        <v>820.80970289906963</v>
      </c>
      <c r="Y160" s="213">
        <f t="shared" si="46"/>
        <v>115856.88961892988</v>
      </c>
      <c r="Z160" s="213">
        <f t="shared" si="46"/>
        <v>1</v>
      </c>
      <c r="AA160" s="211" t="str">
        <f ca="1">_xlfn.FORMULATEXT(U159)</f>
        <v>=SUMPRODUCT($T$144:$T$158, U$144:U$158)</v>
      </c>
    </row>
    <row r="161" spans="2:31" ht="21" customHeight="1" thickTop="1" thickBot="1">
      <c r="T161" s="200" t="s">
        <v>190</v>
      </c>
      <c r="U161" s="214">
        <f t="shared" ref="U161" si="47">U160 / SUM($U$160:$Z$160)</f>
        <v>5.4404849533484463E-8</v>
      </c>
      <c r="V161" s="214">
        <f t="shared" ref="V161" si="48">V160 / SUM($U$160:$Z$160)</f>
        <v>2.753536286965347E-6</v>
      </c>
      <c r="W161" s="214">
        <f t="shared" ref="W161" si="49">W160 / SUM($U$160:$Z$160)</f>
        <v>2.7506039153388048E-5</v>
      </c>
      <c r="X161" s="214">
        <f t="shared" ref="X161" si="50">X160 / SUM($U$160:$Z$160)</f>
        <v>7.0345729397101433E-3</v>
      </c>
      <c r="Y161" s="214">
        <f t="shared" ref="Y161" si="51">Y160 / SUM($U$160:$Z$160)</f>
        <v>0.99292654279517645</v>
      </c>
      <c r="Z161" s="214">
        <f t="shared" ref="Z161" si="52">Z160 / SUM($U$160:$Z$160)</f>
        <v>8.5702848234667436E-6</v>
      </c>
      <c r="AA161" s="211" t="str">
        <f ca="1">_xlfn.FORMULATEXT(U160)</f>
        <v>=EXP(U159)</v>
      </c>
    </row>
    <row r="162" spans="2:31" ht="21" customHeight="1">
      <c r="AA162" s="211" t="str">
        <f ca="1">_xlfn.FORMULATEXT(U161)</f>
        <v>=U160 / SUM($U$160:$Z$160)</v>
      </c>
    </row>
    <row r="163" spans="2:31" ht="24">
      <c r="S163" s="202" t="s">
        <v>191</v>
      </c>
      <c r="T163" s="215">
        <f>MAX(U161:Z161)</f>
        <v>0.99292654279517645</v>
      </c>
      <c r="U163" s="203" t="str">
        <f>INDEX($U$97:$Z$97, MATCH(MIN($U$112:$Z$112), $U$112:$Z$112, 0))</f>
        <v>5.00 Incrementalists</v>
      </c>
      <c r="V163" s="203"/>
      <c r="W163" s="203"/>
    </row>
    <row r="164" spans="2:31" ht="24">
      <c r="S164" s="202" t="s">
        <v>192</v>
      </c>
      <c r="T164" s="215">
        <f>SMALL(U161:Z161, 5)</f>
        <v>7.0345729397101433E-3</v>
      </c>
      <c r="U164" s="203" t="str">
        <f>INDEX($U$143:$Z$143, MATCH(SMALL($U$161:$Z$161, 5), $U$161:$Z$161, 0))</f>
        <v>4.00 Abundance</v>
      </c>
      <c r="V164" s="203"/>
      <c r="W164" s="203"/>
    </row>
    <row r="169" spans="2:31">
      <c r="U169" s="164"/>
      <c r="V169" s="164"/>
      <c r="W169" s="164"/>
      <c r="X169" s="164"/>
      <c r="Y169" s="164"/>
      <c r="Z169" s="164"/>
    </row>
    <row r="170" spans="2:31" ht="15.75">
      <c r="D170" s="106"/>
      <c r="U170" s="164"/>
      <c r="V170" s="164"/>
      <c r="W170" s="164"/>
      <c r="X170" s="164"/>
      <c r="Y170" s="164"/>
      <c r="Z170" s="164"/>
    </row>
    <row r="171" spans="2:31" ht="15.75">
      <c r="D171" s="106"/>
      <c r="S171" s="16"/>
      <c r="U171" s="164"/>
      <c r="V171" s="164"/>
      <c r="W171" s="164"/>
      <c r="X171" s="164"/>
      <c r="Y171" s="164"/>
      <c r="Z171" s="164"/>
    </row>
    <row r="172" spans="2:31" ht="27.75">
      <c r="B172" s="222" t="s">
        <v>193</v>
      </c>
      <c r="C172" s="223"/>
      <c r="D172" s="275"/>
      <c r="F172" s="223"/>
      <c r="G172" s="231" t="s">
        <v>172</v>
      </c>
      <c r="H172" s="231" t="s">
        <v>173</v>
      </c>
      <c r="I172" s="231" t="s">
        <v>174</v>
      </c>
      <c r="J172" s="231" t="s">
        <v>175</v>
      </c>
      <c r="K172" s="231" t="s">
        <v>176</v>
      </c>
      <c r="L172" s="231" t="s">
        <v>177</v>
      </c>
      <c r="M172" s="231" t="s">
        <v>178</v>
      </c>
      <c r="N172" s="231" t="s">
        <v>179</v>
      </c>
      <c r="O172" s="231" t="s">
        <v>180</v>
      </c>
      <c r="P172" s="232" t="s">
        <v>181</v>
      </c>
      <c r="Q172" s="281"/>
      <c r="T172" s="16"/>
      <c r="U172" s="231" t="s">
        <v>172</v>
      </c>
      <c r="V172" s="231" t="s">
        <v>173</v>
      </c>
      <c r="W172" s="231" t="s">
        <v>174</v>
      </c>
      <c r="X172" s="231" t="s">
        <v>175</v>
      </c>
      <c r="Y172" s="231" t="s">
        <v>176</v>
      </c>
      <c r="Z172" s="231" t="s">
        <v>177</v>
      </c>
      <c r="AA172" s="231" t="s">
        <v>178</v>
      </c>
      <c r="AB172" s="231" t="s">
        <v>179</v>
      </c>
      <c r="AC172" s="231" t="s">
        <v>180</v>
      </c>
      <c r="AD172" s="232" t="s">
        <v>181</v>
      </c>
      <c r="AE172" s="281"/>
    </row>
    <row r="173" spans="2:31" ht="25.5">
      <c r="B173" s="280" t="s">
        <v>194</v>
      </c>
      <c r="C173" s="220"/>
      <c r="D173" s="279"/>
      <c r="E173" s="223"/>
      <c r="F173" s="220"/>
      <c r="G173" s="220">
        <v>1</v>
      </c>
      <c r="H173" s="220">
        <v>2</v>
      </c>
      <c r="I173" s="220">
        <v>3</v>
      </c>
      <c r="J173" s="220">
        <v>4</v>
      </c>
      <c r="K173" s="220">
        <v>5</v>
      </c>
      <c r="L173" s="220">
        <v>6</v>
      </c>
      <c r="M173" s="220">
        <v>7</v>
      </c>
      <c r="N173" s="220">
        <v>8</v>
      </c>
      <c r="O173" s="220">
        <v>9</v>
      </c>
      <c r="P173" s="220">
        <v>10</v>
      </c>
      <c r="Q173" s="227"/>
      <c r="S173" s="198"/>
      <c r="U173" s="220">
        <v>1</v>
      </c>
      <c r="V173" s="220">
        <v>2</v>
      </c>
      <c r="W173" s="220">
        <v>3</v>
      </c>
      <c r="X173" s="220">
        <v>4</v>
      </c>
      <c r="Y173" s="220">
        <v>5</v>
      </c>
      <c r="Z173" s="220">
        <v>6</v>
      </c>
      <c r="AA173" s="220">
        <v>7</v>
      </c>
      <c r="AB173" s="220">
        <v>8</v>
      </c>
      <c r="AC173" s="220">
        <v>9</v>
      </c>
      <c r="AD173" s="220">
        <v>10</v>
      </c>
      <c r="AE173" s="220"/>
    </row>
    <row r="174" spans="2:31" ht="15.75">
      <c r="B174" s="224"/>
      <c r="C174" s="220"/>
      <c r="D174" s="279" t="s">
        <v>184</v>
      </c>
      <c r="E174" s="220"/>
      <c r="F174" s="220"/>
      <c r="G174" s="220">
        <v>-0.38723393045133658</v>
      </c>
      <c r="H174" s="220">
        <v>-0.52493520688521467</v>
      </c>
      <c r="I174" s="220">
        <v>-1.9359476036866492</v>
      </c>
      <c r="J174" s="220">
        <v>-2.3928031491710402</v>
      </c>
      <c r="K174" s="220">
        <v>-0.68480946471015536</v>
      </c>
      <c r="L174" s="220">
        <v>-1.3603121534539102</v>
      </c>
      <c r="M174" s="220">
        <v>-0.74424352441403696</v>
      </c>
      <c r="N174" s="220" t="s">
        <v>195</v>
      </c>
      <c r="O174" s="220">
        <v>-0.87487174583976113</v>
      </c>
      <c r="P174" s="220">
        <v>-1.8022690697265071</v>
      </c>
      <c r="Q174" s="227"/>
      <c r="S174" s="198"/>
      <c r="U174" s="220">
        <v>-0.38723393045133658</v>
      </c>
      <c r="V174" s="220">
        <v>-0.52493520688521467</v>
      </c>
      <c r="W174" s="220">
        <v>-1.9359476036866492</v>
      </c>
      <c r="X174" s="220">
        <v>-2.3928031491710402</v>
      </c>
      <c r="Y174" s="220">
        <v>-0.68480946471015536</v>
      </c>
      <c r="Z174" s="220">
        <v>-1.3603121534539102</v>
      </c>
      <c r="AA174" s="220">
        <v>-0.74424352441403696</v>
      </c>
      <c r="AB174" s="220" t="s">
        <v>195</v>
      </c>
      <c r="AC174" s="220">
        <v>-0.87487174583976113</v>
      </c>
      <c r="AD174" s="220">
        <v>-1.8022690697265071</v>
      </c>
      <c r="AE174" s="220"/>
    </row>
    <row r="175" spans="2:31" ht="15.75">
      <c r="B175" s="224"/>
      <c r="C175" s="220"/>
      <c r="D175" s="279" t="s">
        <v>196</v>
      </c>
      <c r="E175" s="220"/>
      <c r="F175" s="220"/>
      <c r="G175" s="220">
        <v>0.56721940755344291</v>
      </c>
      <c r="H175" s="220">
        <v>0.28923351099807454</v>
      </c>
      <c r="I175" s="220">
        <v>0.8972736833262529</v>
      </c>
      <c r="J175" s="220">
        <v>0.30228393189333908</v>
      </c>
      <c r="K175" s="220">
        <v>-8.3186224630843991E-2</v>
      </c>
      <c r="L175" s="220">
        <v>0.65066893516317748</v>
      </c>
      <c r="M175" s="220">
        <v>0.20001687121630818</v>
      </c>
      <c r="N175" s="220"/>
      <c r="O175" s="220">
        <v>0.24349404365751201</v>
      </c>
      <c r="P175" s="220">
        <v>0.86542559081574888</v>
      </c>
      <c r="Q175" s="227"/>
      <c r="S175" s="198" t="str">
        <f ca="1">_xlfn.FORMULATEXT(T175)</f>
        <v>=X81</v>
      </c>
      <c r="T175" s="157">
        <f>X81</f>
        <v>0.50525063613578924</v>
      </c>
      <c r="U175" s="220">
        <f t="shared" ref="U175:AD178" si="53">$T175*G175</f>
        <v>0.2865879664949425</v>
      </c>
      <c r="V175" s="220">
        <f t="shared" si="53"/>
        <v>0.14613541542356495</v>
      </c>
      <c r="W175" s="220">
        <f t="shared" si="53"/>
        <v>0.45334809928849201</v>
      </c>
      <c r="X175" s="220">
        <f t="shared" si="53"/>
        <v>0.15272914888273717</v>
      </c>
      <c r="Y175" s="220">
        <f t="shared" si="53"/>
        <v>-4.2029892912468586E-2</v>
      </c>
      <c r="Z175" s="220">
        <f t="shared" si="53"/>
        <v>0.32875089340499203</v>
      </c>
      <c r="AA175" s="220">
        <f t="shared" si="53"/>
        <v>0.10105865141992994</v>
      </c>
      <c r="AB175" s="220">
        <f t="shared" si="53"/>
        <v>0</v>
      </c>
      <c r="AC175" s="220">
        <f t="shared" si="53"/>
        <v>0.12302552045323357</v>
      </c>
      <c r="AD175" s="220">
        <f t="shared" si="53"/>
        <v>0.43725683028784834</v>
      </c>
      <c r="AE175" s="220"/>
    </row>
    <row r="176" spans="2:31" ht="15.75">
      <c r="B176" s="224"/>
      <c r="C176" s="220"/>
      <c r="D176" s="279" t="s">
        <v>197</v>
      </c>
      <c r="E176" s="220"/>
      <c r="F176" s="220"/>
      <c r="G176" s="220">
        <v>8.1960280841083949E-2</v>
      </c>
      <c r="H176" s="220">
        <v>0.10175176171097858</v>
      </c>
      <c r="I176" s="220">
        <v>-0.11873861209671466</v>
      </c>
      <c r="J176" s="220">
        <v>-5.2295972581845054E-2</v>
      </c>
      <c r="K176" s="220">
        <v>0.5799338381932001</v>
      </c>
      <c r="L176" s="220">
        <v>-0.21621450930156186</v>
      </c>
      <c r="M176" s="220">
        <v>0.40007648925745548</v>
      </c>
      <c r="N176" s="220"/>
      <c r="O176" s="220">
        <v>0.14516219548223452</v>
      </c>
      <c r="P176" s="220">
        <v>-0.10617888502495448</v>
      </c>
      <c r="Q176" s="227"/>
      <c r="S176" s="198" t="str">
        <f ca="1">_xlfn.FORMULATEXT(T176)</f>
        <v>=X85</v>
      </c>
      <c r="T176" s="157">
        <f>X85</f>
        <v>-0.19375564056380257</v>
      </c>
      <c r="U176" s="220">
        <f t="shared" si="53"/>
        <v>-1.5880266715153375E-2</v>
      </c>
      <c r="V176" s="220">
        <f t="shared" si="53"/>
        <v>-1.9714977768806055E-2</v>
      </c>
      <c r="W176" s="220">
        <f t="shared" si="53"/>
        <v>2.3006275846455825E-2</v>
      </c>
      <c r="X176" s="220">
        <f t="shared" si="53"/>
        <v>1.0132639666502444E-2</v>
      </c>
      <c r="Y176" s="220">
        <f t="shared" si="53"/>
        <v>-0.11236545230374811</v>
      </c>
      <c r="Z176" s="220">
        <f t="shared" si="53"/>
        <v>4.1892780748912367E-2</v>
      </c>
      <c r="AA176" s="220">
        <f t="shared" si="53"/>
        <v>-7.7517076450595565E-2</v>
      </c>
      <c r="AB176" s="220">
        <f t="shared" si="53"/>
        <v>0</v>
      </c>
      <c r="AC176" s="220">
        <f t="shared" si="53"/>
        <v>-2.8125994171308278E-2</v>
      </c>
      <c r="AD176" s="220">
        <f t="shared" si="53"/>
        <v>2.0572757882360401E-2</v>
      </c>
      <c r="AE176" s="220"/>
    </row>
    <row r="177" spans="2:31" ht="15.75">
      <c r="B177" s="224"/>
      <c r="C177" s="220"/>
      <c r="D177" s="279" t="s">
        <v>198</v>
      </c>
      <c r="E177" s="220"/>
      <c r="F177" s="220"/>
      <c r="G177" s="220">
        <v>-0.45028155320828617</v>
      </c>
      <c r="H177" s="220">
        <v>-0.31931142283771002</v>
      </c>
      <c r="I177" s="220">
        <v>-0.43557905063624547</v>
      </c>
      <c r="J177" s="220">
        <v>0.17574389193804277</v>
      </c>
      <c r="K177" s="220">
        <v>-0.31661896434437958</v>
      </c>
      <c r="L177" s="220">
        <v>-0.13406311330401652</v>
      </c>
      <c r="M177" s="220">
        <v>-0.43777996857220858</v>
      </c>
      <c r="N177" s="220"/>
      <c r="O177" s="220">
        <v>-0.12724900305712078</v>
      </c>
      <c r="P177" s="220">
        <v>-0.41173826770088323</v>
      </c>
      <c r="Q177" s="227"/>
      <c r="S177" s="198" t="str">
        <f ca="1">_xlfn.FORMULATEXT(T177)</f>
        <v>=X88</v>
      </c>
      <c r="T177" s="196">
        <f>X88</f>
        <v>-2.8394954100447229</v>
      </c>
      <c r="U177" s="220">
        <f t="shared" si="53"/>
        <v>1.2785724035627373</v>
      </c>
      <c r="V177" s="220">
        <f t="shared" si="53"/>
        <v>0.90668331952252734</v>
      </c>
      <c r="W177" s="220">
        <f t="shared" si="53"/>
        <v>1.236824714993257</v>
      </c>
      <c r="X177" s="220">
        <f t="shared" si="53"/>
        <v>-0.49902397450146824</v>
      </c>
      <c r="Y177" s="220">
        <f t="shared" si="53"/>
        <v>0.89903809598897966</v>
      </c>
      <c r="Z177" s="220">
        <f t="shared" si="53"/>
        <v>0.38067159488306052</v>
      </c>
      <c r="AA177" s="220">
        <f t="shared" si="53"/>
        <v>1.2430742113703093</v>
      </c>
      <c r="AB177" s="220">
        <f t="shared" si="53"/>
        <v>0</v>
      </c>
      <c r="AC177" s="220">
        <f t="shared" si="53"/>
        <v>0.36132296011346138</v>
      </c>
      <c r="AD177" s="220">
        <f t="shared" si="53"/>
        <v>1.1691289212764233</v>
      </c>
      <c r="AE177" s="220"/>
    </row>
    <row r="178" spans="2:31" ht="15.75">
      <c r="B178" s="224"/>
      <c r="C178" s="220"/>
      <c r="D178" s="279" t="s">
        <v>199</v>
      </c>
      <c r="E178" s="220"/>
      <c r="F178" s="220"/>
      <c r="G178" s="220">
        <v>0.13086125387023131</v>
      </c>
      <c r="H178" s="220">
        <v>5.5059521317541542E-2</v>
      </c>
      <c r="I178" s="220">
        <v>0.26990951731301233</v>
      </c>
      <c r="J178" s="220">
        <v>8.7186685382501267E-2</v>
      </c>
      <c r="K178" s="220">
        <v>-4.1216493805596638E-2</v>
      </c>
      <c r="L178" s="220">
        <v>0.22413891093727673</v>
      </c>
      <c r="M178" s="220">
        <v>1.2210153890026047E-2</v>
      </c>
      <c r="N178" s="220"/>
      <c r="O178" s="220">
        <v>5.5248392464937325E-2</v>
      </c>
      <c r="P178" s="220">
        <v>4.838392511813757E-2</v>
      </c>
      <c r="Q178" s="227"/>
      <c r="S178" s="198" t="str">
        <f ca="1">_xlfn.FORMULATEXT(T178)</f>
        <v>=X90</v>
      </c>
      <c r="T178" s="196">
        <f>X90</f>
        <v>-1.1926429215465042</v>
      </c>
      <c r="U178" s="220">
        <f t="shared" si="53"/>
        <v>-0.15607074813303146</v>
      </c>
      <c r="V178" s="220">
        <f t="shared" si="53"/>
        <v>-6.5666348363104768E-2</v>
      </c>
      <c r="W178" s="220">
        <f t="shared" si="53"/>
        <v>-0.3219056752813978</v>
      </c>
      <c r="X178" s="220">
        <f t="shared" si="53"/>
        <v>-0.1039825831745422</v>
      </c>
      <c r="Y178" s="220">
        <f t="shared" si="53"/>
        <v>4.9156559588210171E-2</v>
      </c>
      <c r="Z178" s="220">
        <f t="shared" si="53"/>
        <v>-0.26731768557248542</v>
      </c>
      <c r="AA178" s="220">
        <f t="shared" si="53"/>
        <v>-1.4562353607933079E-2</v>
      </c>
      <c r="AB178" s="220">
        <f t="shared" si="53"/>
        <v>0</v>
      </c>
      <c r="AC178" s="220">
        <f t="shared" si="53"/>
        <v>-6.5891604200130724E-2</v>
      </c>
      <c r="AD178" s="220">
        <f t="shared" si="53"/>
        <v>-5.7704745808782883E-2</v>
      </c>
      <c r="AE178" s="220"/>
    </row>
    <row r="179" spans="2:31">
      <c r="B179" s="224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7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</row>
    <row r="180" spans="2:31">
      <c r="B180" s="228"/>
      <c r="C180" s="229"/>
      <c r="D180" s="229"/>
      <c r="E180" s="220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30"/>
      <c r="U180" s="15"/>
      <c r="V180" s="15"/>
      <c r="W180" s="15"/>
      <c r="X180" s="15"/>
      <c r="Y180" s="15"/>
      <c r="Z180" s="15"/>
      <c r="AB180" s="72"/>
      <c r="AC180" s="72"/>
    </row>
    <row r="181" spans="2:31" ht="28.5" customHeight="1" thickBot="1">
      <c r="E181" s="229"/>
      <c r="T181" s="200" t="s">
        <v>188</v>
      </c>
      <c r="U181" s="212">
        <f t="shared" ref="U181:AD181" si="54">SUMPRODUCT($T$174:$T$179, U$174:U$179)</f>
        <v>-3.2964881546747637</v>
      </c>
      <c r="V181" s="212">
        <f t="shared" si="54"/>
        <v>-2.4185517188382457</v>
      </c>
      <c r="W181" s="212">
        <f t="shared" si="54"/>
        <v>-2.9034427563803753</v>
      </c>
      <c r="X181" s="212">
        <f t="shared" si="54"/>
        <v>1.6161936204267273</v>
      </c>
      <c r="Y181" s="212">
        <f t="shared" si="54"/>
        <v>-2.6109049597989027</v>
      </c>
      <c r="Z181" s="212">
        <f t="shared" si="54"/>
        <v>-0.60411606544855889</v>
      </c>
      <c r="AA181" s="212">
        <f t="shared" si="54"/>
        <v>-3.4462565108601351</v>
      </c>
      <c r="AB181" s="212">
        <f t="shared" si="54"/>
        <v>0</v>
      </c>
      <c r="AC181" s="212">
        <f t="shared" si="54"/>
        <v>-0.87978143896022787</v>
      </c>
      <c r="AD181" s="212">
        <f t="shared" si="54"/>
        <v>-3.0339768453104639</v>
      </c>
    </row>
    <row r="182" spans="2:31" ht="21" customHeight="1" thickTop="1" thickBot="1">
      <c r="T182" s="200" t="s">
        <v>189</v>
      </c>
      <c r="U182" s="213">
        <f>EXP(U181)</f>
        <v>3.701292308785168E-2</v>
      </c>
      <c r="V182" s="213">
        <f t="shared" ref="V182:AD182" si="55">EXP(V181)</f>
        <v>8.905049426522374E-2</v>
      </c>
      <c r="W182" s="213">
        <f t="shared" si="55"/>
        <v>5.4834114223927401E-2</v>
      </c>
      <c r="X182" s="213">
        <f t="shared" si="55"/>
        <v>5.0338928963136667</v>
      </c>
      <c r="Y182" s="213">
        <f t="shared" si="55"/>
        <v>7.3468028058679538E-2</v>
      </c>
      <c r="Z182" s="213">
        <f t="shared" si="55"/>
        <v>0.54655733409092233</v>
      </c>
      <c r="AA182" s="213">
        <f t="shared" si="55"/>
        <v>3.1864698537996818E-2</v>
      </c>
      <c r="AB182" s="213">
        <f t="shared" si="55"/>
        <v>1</v>
      </c>
      <c r="AC182" s="213">
        <f t="shared" si="55"/>
        <v>0.41487357697362753</v>
      </c>
      <c r="AD182" s="213">
        <f t="shared" si="55"/>
        <v>4.8123875864321118E-2</v>
      </c>
    </row>
    <row r="183" spans="2:31" ht="21" customHeight="1" thickTop="1" thickBot="1">
      <c r="T183" s="200" t="s">
        <v>190</v>
      </c>
      <c r="U183" s="214">
        <f>U182 / SUM($U$182:$AD$182)</f>
        <v>5.0497338878575833E-3</v>
      </c>
      <c r="V183" s="214">
        <f>V182 / SUM($U$182:$AD$182)</f>
        <v>1.214930519143897E-2</v>
      </c>
      <c r="W183" s="214">
        <f t="shared" ref="W183:AD183" si="56">W182 / SUM($U$182:$AD$182)</f>
        <v>7.4811082645375457E-3</v>
      </c>
      <c r="X183" s="214">
        <f t="shared" si="56"/>
        <v>0.68678227563993544</v>
      </c>
      <c r="Y183" s="214">
        <f t="shared" si="56"/>
        <v>1.0023363733834707E-2</v>
      </c>
      <c r="Z183" s="214">
        <f t="shared" si="56"/>
        <v>7.4567714769923202E-2</v>
      </c>
      <c r="AA183" s="214">
        <f t="shared" si="56"/>
        <v>4.3473531569437583E-3</v>
      </c>
      <c r="AB183" s="214">
        <f t="shared" si="56"/>
        <v>0.13643164242585851</v>
      </c>
      <c r="AC183" s="214">
        <f t="shared" si="56"/>
        <v>5.6601883505602843E-2</v>
      </c>
      <c r="AD183" s="214">
        <f t="shared" si="56"/>
        <v>6.5656194240674617E-3</v>
      </c>
    </row>
    <row r="184" spans="2:31" ht="16.5">
      <c r="T184" s="200"/>
    </row>
    <row r="185" spans="2:31" ht="24">
      <c r="S185" s="202" t="s">
        <v>191</v>
      </c>
      <c r="T185" s="215">
        <f>MAX(U183:Z183)</f>
        <v>0.68678227563993544</v>
      </c>
      <c r="U185" s="203" t="str">
        <f>INDEX($U$172:$AD$172, MATCH(MAX($U$183:$AD$183), $U$183:$AD$183, 0))</f>
        <v>Paleo Freedom Fighters</v>
      </c>
      <c r="V185" s="203"/>
      <c r="W185" s="203"/>
    </row>
    <row r="186" spans="2:31" ht="24">
      <c r="S186" s="202" t="s">
        <v>192</v>
      </c>
      <c r="T186" s="215">
        <f>SMALL(U183:Z183, 5)</f>
        <v>7.4567714769923202E-2</v>
      </c>
      <c r="U186" s="203" t="str">
        <f>INDEX($U$172:$AD$172,MATCH(SMALL($U$183:$AD$183, 9),$U$183:$AD$183,0))</f>
        <v>Vaccine Skeptics</v>
      </c>
      <c r="V186" s="203"/>
      <c r="W186" s="203"/>
    </row>
    <row r="193" spans="5:13">
      <c r="E193" s="16"/>
      <c r="F193" s="17"/>
    </row>
    <row r="194" spans="5:13"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5:13"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5:13"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5:13"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5:13">
      <c r="E198" s="17"/>
      <c r="G198" s="17"/>
      <c r="H198" s="17"/>
      <c r="I198" s="17"/>
      <c r="J198" s="17"/>
      <c r="K198" s="17"/>
      <c r="L198" s="17"/>
      <c r="M198" s="17"/>
    </row>
  </sheetData>
  <mergeCells count="21">
    <mergeCell ref="H118:Q118"/>
    <mergeCell ref="V2:W2"/>
    <mergeCell ref="L96:Q96"/>
    <mergeCell ref="C22:G22"/>
    <mergeCell ref="O22:S22"/>
    <mergeCell ref="H25:I25"/>
    <mergeCell ref="M25:N25"/>
    <mergeCell ref="C21:G21"/>
    <mergeCell ref="O21:S21"/>
    <mergeCell ref="I11:I12"/>
    <mergeCell ref="J11:J12"/>
    <mergeCell ref="K11:K12"/>
    <mergeCell ref="L11:L12"/>
    <mergeCell ref="M11:M12"/>
    <mergeCell ref="N11:N12"/>
    <mergeCell ref="I3:I4"/>
    <mergeCell ref="J3:J4"/>
    <mergeCell ref="K3:K4"/>
    <mergeCell ref="L3:L4"/>
    <mergeCell ref="M3:M4"/>
    <mergeCell ref="N3:N4"/>
  </mergeCells>
  <phoneticPr fontId="2" type="noConversion"/>
  <dataValidations count="3">
    <dataValidation type="list" allowBlank="1" showInputMessage="1" showErrorMessage="1" sqref="H53 L59 H42 H44 I39 J46 K41 J44 I45 J42 I43 J40 I41 K47:L47 K45 K43 M44:N44 O38 L38:L39 O47 L46 M45 M40 M41:N41 N42:O43 H55 H57 H59 I54 J61 K56 J59 I60 J57 I58 J55 I56 M56:N56 K60 K58 N54 O64 L63 N63 H40 N61 H38 K62 L57 L61 M60 M62 M64 O53 O62 O55" xr:uid="{0A769290-A90D-4DE1-AC05-616C81E3C1DC}">
      <formula1>$A$65:$A$67</formula1>
    </dataValidation>
    <dataValidation type="list" allowBlank="1" showInputMessage="1" showErrorMessage="1" sqref="T7:T9 T15:T17 T21:T22 T28:T29 T31:T32" xr:uid="{E2E6408B-C42C-4F4C-A8DC-11874EF018C9}">
      <formula1>$H$5:$N$5</formula1>
    </dataValidation>
    <dataValidation type="list" allowBlank="1" showInputMessage="1" showErrorMessage="1" sqref="T30" xr:uid="{FC43789D-969D-44BA-880D-1FFF18BFFEBB}">
      <formula1>$H$19:$N$19</formula1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7D31-CD9E-4664-9EED-8A725074F3BF}">
  <dimension ref="A1:S67"/>
  <sheetViews>
    <sheetView zoomScale="85" zoomScaleNormal="85" workbookViewId="0">
      <selection activeCell="J35" sqref="J35"/>
    </sheetView>
  </sheetViews>
  <sheetFormatPr defaultRowHeight="14.25"/>
  <sheetData>
    <row r="1" spans="1:15"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</row>
    <row r="2" spans="1:15">
      <c r="B2" s="3" t="s">
        <v>205</v>
      </c>
      <c r="C2" s="2" t="s">
        <v>206</v>
      </c>
      <c r="D2" s="2" t="s">
        <v>207</v>
      </c>
      <c r="E2" s="2" t="s">
        <v>208</v>
      </c>
      <c r="F2" s="2" t="s">
        <v>209</v>
      </c>
      <c r="G2" t="str">
        <f>_xlfn.CONCAT($B2,"_",C2)</f>
        <v>Q1_A1</v>
      </c>
      <c r="H2" t="str">
        <f>_xlfn.CONCAT($B2,"_",D2)</f>
        <v>Q1_A3</v>
      </c>
      <c r="I2" t="str">
        <f>_xlfn.CONCAT($B2,"_",E2)</f>
        <v>Q1_A5</v>
      </c>
      <c r="J2" t="str">
        <f>_xlfn.CONCAT($B2,"_",F2)</f>
        <v>Q1_A7</v>
      </c>
      <c r="L2" t="s">
        <v>210</v>
      </c>
      <c r="M2" t="s">
        <v>211</v>
      </c>
      <c r="N2" t="s">
        <v>212</v>
      </c>
      <c r="O2" t="s">
        <v>213</v>
      </c>
    </row>
    <row r="3" spans="1:15">
      <c r="B3" s="3" t="s">
        <v>214</v>
      </c>
      <c r="C3" s="2" t="s">
        <v>215</v>
      </c>
      <c r="D3" s="2" t="s">
        <v>216</v>
      </c>
      <c r="E3" s="6" t="s">
        <v>217</v>
      </c>
      <c r="F3" s="6" t="s">
        <v>218</v>
      </c>
      <c r="G3" t="str">
        <f t="shared" ref="G3:G9" si="0">_xlfn.CONCAT($B3,"_",C3)</f>
        <v>Q2_A2</v>
      </c>
      <c r="H3" t="str">
        <f t="shared" ref="H3:H9" si="1">_xlfn.CONCAT($B3,"_",D3)</f>
        <v>Q2_A4</v>
      </c>
      <c r="I3" t="str">
        <f t="shared" ref="I3:I9" si="2">_xlfn.CONCAT($B3,"_",E3)</f>
        <v>Q2_A8</v>
      </c>
      <c r="J3" t="str">
        <f t="shared" ref="J3:J9" si="3">_xlfn.CONCAT($B3,"_",F3)</f>
        <v>Q2_A12</v>
      </c>
      <c r="L3" t="s">
        <v>219</v>
      </c>
      <c r="M3" t="s">
        <v>220</v>
      </c>
      <c r="N3" t="s">
        <v>221</v>
      </c>
      <c r="O3" t="s">
        <v>222</v>
      </c>
    </row>
    <row r="4" spans="1:15">
      <c r="B4" s="3" t="s">
        <v>223</v>
      </c>
      <c r="C4" s="2" t="s">
        <v>207</v>
      </c>
      <c r="D4" s="2" t="s">
        <v>216</v>
      </c>
      <c r="E4" s="2" t="s">
        <v>217</v>
      </c>
      <c r="F4" s="2" t="s">
        <v>224</v>
      </c>
      <c r="G4" t="str">
        <f t="shared" si="0"/>
        <v>Q3_A3</v>
      </c>
      <c r="H4" t="str">
        <f t="shared" si="1"/>
        <v>Q3_A4</v>
      </c>
      <c r="I4" t="str">
        <f t="shared" si="2"/>
        <v>Q3_A8</v>
      </c>
      <c r="J4" t="str">
        <f t="shared" si="3"/>
        <v>Q3_A10</v>
      </c>
      <c r="L4" t="s">
        <v>225</v>
      </c>
      <c r="M4" t="s">
        <v>226</v>
      </c>
      <c r="N4" t="s">
        <v>227</v>
      </c>
      <c r="O4" t="s">
        <v>228</v>
      </c>
    </row>
    <row r="5" spans="1:15">
      <c r="B5" s="3" t="s">
        <v>229</v>
      </c>
      <c r="C5" s="2" t="s">
        <v>206</v>
      </c>
      <c r="D5" s="2" t="s">
        <v>215</v>
      </c>
      <c r="E5" s="2" t="s">
        <v>209</v>
      </c>
      <c r="F5" s="2" t="s">
        <v>230</v>
      </c>
      <c r="G5" t="str">
        <f t="shared" si="0"/>
        <v>Q4_A1</v>
      </c>
      <c r="H5" t="str">
        <f t="shared" si="1"/>
        <v>Q4_A2</v>
      </c>
      <c r="I5" t="str">
        <f t="shared" si="2"/>
        <v>Q4_A7</v>
      </c>
      <c r="J5" t="str">
        <f t="shared" si="3"/>
        <v>Q4_A11</v>
      </c>
      <c r="L5" t="s">
        <v>231</v>
      </c>
      <c r="M5" t="s">
        <v>232</v>
      </c>
      <c r="N5" t="s">
        <v>233</v>
      </c>
      <c r="O5" t="s">
        <v>234</v>
      </c>
    </row>
    <row r="6" spans="1:15">
      <c r="B6" s="3" t="s">
        <v>235</v>
      </c>
      <c r="C6" s="2" t="s">
        <v>215</v>
      </c>
      <c r="D6" s="2" t="s">
        <v>208</v>
      </c>
      <c r="E6" s="2" t="s">
        <v>236</v>
      </c>
      <c r="F6" s="2" t="s">
        <v>218</v>
      </c>
      <c r="G6" t="str">
        <f t="shared" si="0"/>
        <v>Q5_A2</v>
      </c>
      <c r="H6" t="str">
        <f t="shared" si="1"/>
        <v>Q5_A5</v>
      </c>
      <c r="I6" t="str">
        <f t="shared" si="2"/>
        <v>Q5_A9</v>
      </c>
      <c r="J6" t="str">
        <f t="shared" si="3"/>
        <v>Q5_A12</v>
      </c>
      <c r="L6" t="s">
        <v>237</v>
      </c>
      <c r="M6" t="s">
        <v>238</v>
      </c>
      <c r="N6" t="s">
        <v>239</v>
      </c>
      <c r="O6" t="s">
        <v>240</v>
      </c>
    </row>
    <row r="7" spans="1:15">
      <c r="B7" s="3" t="s">
        <v>241</v>
      </c>
      <c r="C7" s="2" t="s">
        <v>206</v>
      </c>
      <c r="D7" s="2" t="s">
        <v>242</v>
      </c>
      <c r="E7" s="2" t="s">
        <v>224</v>
      </c>
      <c r="F7" s="6" t="s">
        <v>230</v>
      </c>
      <c r="G7" t="str">
        <f t="shared" si="0"/>
        <v>Q6_A1</v>
      </c>
      <c r="H7" t="str">
        <f t="shared" si="1"/>
        <v>Q6_A6</v>
      </c>
      <c r="I7" t="str">
        <f t="shared" si="2"/>
        <v>Q6_A10</v>
      </c>
      <c r="J7" t="str">
        <f t="shared" si="3"/>
        <v>Q6_A11</v>
      </c>
      <c r="L7" t="s">
        <v>243</v>
      </c>
      <c r="M7" t="s">
        <v>244</v>
      </c>
      <c r="N7" t="s">
        <v>245</v>
      </c>
      <c r="O7" t="s">
        <v>246</v>
      </c>
    </row>
    <row r="8" spans="1:15">
      <c r="B8" s="3" t="s">
        <v>247</v>
      </c>
      <c r="C8" s="2" t="s">
        <v>207</v>
      </c>
      <c r="D8" s="2" t="s">
        <v>209</v>
      </c>
      <c r="E8" s="2" t="s">
        <v>236</v>
      </c>
      <c r="F8" s="2" t="s">
        <v>230</v>
      </c>
      <c r="G8" t="str">
        <f t="shared" si="0"/>
        <v>Q7_A3</v>
      </c>
      <c r="H8" t="str">
        <f t="shared" si="1"/>
        <v>Q7_A7</v>
      </c>
      <c r="I8" t="str">
        <f t="shared" si="2"/>
        <v>Q7_A9</v>
      </c>
      <c r="J8" t="str">
        <f t="shared" si="3"/>
        <v>Q7_A11</v>
      </c>
      <c r="L8" t="s">
        <v>248</v>
      </c>
      <c r="M8" t="s">
        <v>249</v>
      </c>
      <c r="N8" t="s">
        <v>250</v>
      </c>
      <c r="O8" t="s">
        <v>251</v>
      </c>
    </row>
    <row r="9" spans="1:15">
      <c r="B9" s="3" t="s">
        <v>252</v>
      </c>
      <c r="C9" s="2" t="s">
        <v>208</v>
      </c>
      <c r="D9" s="2" t="s">
        <v>242</v>
      </c>
      <c r="E9" s="2" t="s">
        <v>217</v>
      </c>
      <c r="F9" s="2" t="s">
        <v>218</v>
      </c>
      <c r="G9" t="str">
        <f t="shared" si="0"/>
        <v>Q8_A5</v>
      </c>
      <c r="H9" t="str">
        <f t="shared" si="1"/>
        <v>Q8_A6</v>
      </c>
      <c r="I9" t="str">
        <f t="shared" si="2"/>
        <v>Q8_A8</v>
      </c>
      <c r="J9" t="str">
        <f t="shared" si="3"/>
        <v>Q8_A12</v>
      </c>
      <c r="L9" t="s">
        <v>253</v>
      </c>
      <c r="M9" t="s">
        <v>254</v>
      </c>
      <c r="N9" t="s">
        <v>255</v>
      </c>
      <c r="O9" t="s">
        <v>256</v>
      </c>
    </row>
    <row r="10" spans="1:15">
      <c r="B10" s="3"/>
    </row>
    <row r="13" spans="1:15">
      <c r="B13" t="s">
        <v>257</v>
      </c>
      <c r="C13" t="s">
        <v>258</v>
      </c>
    </row>
    <row r="14" spans="1:15">
      <c r="A14">
        <v>3</v>
      </c>
      <c r="B14" t="s">
        <v>206</v>
      </c>
      <c r="C14" t="s">
        <v>92</v>
      </c>
    </row>
    <row r="15" spans="1:15">
      <c r="A15">
        <v>3</v>
      </c>
      <c r="B15" t="s">
        <v>215</v>
      </c>
      <c r="C15" t="s">
        <v>93</v>
      </c>
    </row>
    <row r="16" spans="1:15">
      <c r="A16">
        <v>3</v>
      </c>
      <c r="B16" t="s">
        <v>207</v>
      </c>
      <c r="C16" t="s">
        <v>94</v>
      </c>
    </row>
    <row r="17" spans="1:15">
      <c r="A17">
        <v>2</v>
      </c>
      <c r="B17" t="s">
        <v>216</v>
      </c>
      <c r="C17" t="s">
        <v>95</v>
      </c>
    </row>
    <row r="18" spans="1:15">
      <c r="A18">
        <v>3</v>
      </c>
      <c r="B18" t="s">
        <v>208</v>
      </c>
      <c r="C18" t="s">
        <v>96</v>
      </c>
    </row>
    <row r="19" spans="1:15">
      <c r="A19">
        <v>2</v>
      </c>
      <c r="B19" t="s">
        <v>242</v>
      </c>
      <c r="C19" t="s">
        <v>97</v>
      </c>
    </row>
    <row r="20" spans="1:15">
      <c r="A20">
        <v>3</v>
      </c>
      <c r="B20" t="s">
        <v>209</v>
      </c>
      <c r="C20" t="s">
        <v>98</v>
      </c>
    </row>
    <row r="21" spans="1:15">
      <c r="A21">
        <v>3</v>
      </c>
      <c r="B21" t="s">
        <v>217</v>
      </c>
      <c r="C21" t="s">
        <v>99</v>
      </c>
    </row>
    <row r="22" spans="1:15">
      <c r="A22">
        <v>2</v>
      </c>
      <c r="B22" t="s">
        <v>236</v>
      </c>
      <c r="C22" t="s">
        <v>100</v>
      </c>
    </row>
    <row r="23" spans="1:15">
      <c r="A23">
        <v>2</v>
      </c>
      <c r="B23" t="s">
        <v>224</v>
      </c>
      <c r="C23" t="s">
        <v>101</v>
      </c>
    </row>
    <row r="24" spans="1:15">
      <c r="A24">
        <v>3</v>
      </c>
      <c r="B24" t="s">
        <v>230</v>
      </c>
      <c r="C24" t="s">
        <v>103</v>
      </c>
    </row>
    <row r="25" spans="1:15">
      <c r="A25">
        <v>3</v>
      </c>
      <c r="B25" t="s">
        <v>218</v>
      </c>
      <c r="C25" t="s">
        <v>106</v>
      </c>
    </row>
    <row r="26" spans="1:15">
      <c r="A26">
        <f>SUM(A14:A25)</f>
        <v>32</v>
      </c>
    </row>
    <row r="29" spans="1:15">
      <c r="A29" t="s">
        <v>205</v>
      </c>
      <c r="B29" s="2" t="s">
        <v>206</v>
      </c>
      <c r="C29" t="s">
        <v>92</v>
      </c>
      <c r="M29" t="s">
        <v>259</v>
      </c>
      <c r="N29" t="s">
        <v>92</v>
      </c>
      <c r="O29" t="s">
        <v>260</v>
      </c>
    </row>
    <row r="30" spans="1:15">
      <c r="B30" s="2" t="s">
        <v>207</v>
      </c>
      <c r="C30" t="s">
        <v>94</v>
      </c>
      <c r="M30" t="s">
        <v>259</v>
      </c>
      <c r="N30" t="s">
        <v>94</v>
      </c>
      <c r="O30" t="s">
        <v>260</v>
      </c>
    </row>
    <row r="31" spans="1:15">
      <c r="B31" s="2" t="s">
        <v>208</v>
      </c>
      <c r="C31" t="s">
        <v>96</v>
      </c>
      <c r="M31" t="s">
        <v>259</v>
      </c>
      <c r="N31" t="s">
        <v>96</v>
      </c>
      <c r="O31" t="s">
        <v>260</v>
      </c>
    </row>
    <row r="32" spans="1:15">
      <c r="B32" s="2" t="s">
        <v>209</v>
      </c>
      <c r="C32" t="s">
        <v>98</v>
      </c>
      <c r="M32" t="s">
        <v>259</v>
      </c>
      <c r="N32" t="s">
        <v>98</v>
      </c>
      <c r="O32" t="s">
        <v>260</v>
      </c>
    </row>
    <row r="34" spans="1:19">
      <c r="A34" t="s">
        <v>214</v>
      </c>
      <c r="B34" s="2" t="s">
        <v>215</v>
      </c>
      <c r="C34" t="s">
        <v>259</v>
      </c>
      <c r="D34" t="s">
        <v>93</v>
      </c>
      <c r="E34" t="s">
        <v>260</v>
      </c>
    </row>
    <row r="35" spans="1:19">
      <c r="B35" s="2" t="s">
        <v>216</v>
      </c>
      <c r="C35" t="s">
        <v>259</v>
      </c>
      <c r="D35" t="s">
        <v>95</v>
      </c>
      <c r="E35" t="s">
        <v>260</v>
      </c>
    </row>
    <row r="36" spans="1:19">
      <c r="B36" s="2" t="s">
        <v>242</v>
      </c>
      <c r="C36" t="s">
        <v>259</v>
      </c>
      <c r="D36" t="s">
        <v>97</v>
      </c>
      <c r="E36" t="s">
        <v>260</v>
      </c>
    </row>
    <row r="37" spans="1:19">
      <c r="B37" s="2" t="s">
        <v>236</v>
      </c>
      <c r="C37" t="s">
        <v>259</v>
      </c>
      <c r="D37" t="s">
        <v>100</v>
      </c>
      <c r="E37" t="s">
        <v>260</v>
      </c>
    </row>
    <row r="39" spans="1:19">
      <c r="A39" t="s">
        <v>223</v>
      </c>
      <c r="B39" s="2" t="s">
        <v>207</v>
      </c>
      <c r="C39" t="s">
        <v>259</v>
      </c>
      <c r="D39" t="s">
        <v>94</v>
      </c>
      <c r="E39" t="s">
        <v>260</v>
      </c>
    </row>
    <row r="40" spans="1:19">
      <c r="B40" s="2" t="s">
        <v>208</v>
      </c>
      <c r="C40" t="s">
        <v>259</v>
      </c>
      <c r="D40" t="s">
        <v>96</v>
      </c>
      <c r="E40" t="s">
        <v>260</v>
      </c>
    </row>
    <row r="41" spans="1:19">
      <c r="B41" s="2" t="s">
        <v>217</v>
      </c>
      <c r="C41" t="s">
        <v>259</v>
      </c>
      <c r="D41" t="s">
        <v>99</v>
      </c>
      <c r="E41" t="s">
        <v>260</v>
      </c>
      <c r="N41" s="2" t="s">
        <v>207</v>
      </c>
      <c r="O41" s="2" t="s">
        <v>206</v>
      </c>
      <c r="P41" s="2" t="s">
        <v>215</v>
      </c>
      <c r="Q41" s="2" t="s">
        <v>206</v>
      </c>
      <c r="R41" s="2" t="s">
        <v>207</v>
      </c>
      <c r="S41" s="2" t="s">
        <v>216</v>
      </c>
    </row>
    <row r="42" spans="1:19">
      <c r="B42" s="2" t="s">
        <v>224</v>
      </c>
      <c r="C42" t="s">
        <v>259</v>
      </c>
      <c r="D42" t="s">
        <v>101</v>
      </c>
      <c r="E42" t="s">
        <v>260</v>
      </c>
      <c r="N42" s="2" t="s">
        <v>208</v>
      </c>
      <c r="O42" s="2" t="s">
        <v>216</v>
      </c>
      <c r="P42" s="2" t="s">
        <v>208</v>
      </c>
      <c r="Q42" s="2" t="s">
        <v>242</v>
      </c>
      <c r="R42" s="2" t="s">
        <v>209</v>
      </c>
      <c r="S42" s="2" t="s">
        <v>242</v>
      </c>
    </row>
    <row r="43" spans="1:19">
      <c r="N43" s="2" t="s">
        <v>217</v>
      </c>
      <c r="O43" s="2" t="s">
        <v>209</v>
      </c>
      <c r="P43" s="2" t="s">
        <v>236</v>
      </c>
      <c r="Q43" s="2" t="s">
        <v>217</v>
      </c>
      <c r="R43" s="2" t="s">
        <v>236</v>
      </c>
      <c r="S43" s="2" t="s">
        <v>224</v>
      </c>
    </row>
    <row r="44" spans="1:19">
      <c r="A44" t="s">
        <v>229</v>
      </c>
      <c r="B44" s="2" t="s">
        <v>206</v>
      </c>
      <c r="C44" t="s">
        <v>259</v>
      </c>
      <c r="D44" t="s">
        <v>92</v>
      </c>
      <c r="E44" t="s">
        <v>260</v>
      </c>
      <c r="N44" s="2" t="s">
        <v>224</v>
      </c>
      <c r="O44" s="2" t="s">
        <v>230</v>
      </c>
      <c r="P44" s="2" t="s">
        <v>218</v>
      </c>
      <c r="Q44" s="2" t="s">
        <v>224</v>
      </c>
      <c r="R44" s="2" t="s">
        <v>230</v>
      </c>
      <c r="S44" s="2" t="s">
        <v>218</v>
      </c>
    </row>
    <row r="45" spans="1:19">
      <c r="B45" s="2" t="s">
        <v>216</v>
      </c>
      <c r="C45" t="s">
        <v>259</v>
      </c>
      <c r="D45" t="s">
        <v>95</v>
      </c>
      <c r="E45" t="s">
        <v>260</v>
      </c>
    </row>
    <row r="46" spans="1:19">
      <c r="B46" s="2" t="s">
        <v>209</v>
      </c>
      <c r="C46" t="s">
        <v>259</v>
      </c>
      <c r="D46" t="s">
        <v>98</v>
      </c>
      <c r="E46" t="s">
        <v>260</v>
      </c>
    </row>
    <row r="47" spans="1:19">
      <c r="B47" s="2" t="s">
        <v>230</v>
      </c>
      <c r="C47" t="s">
        <v>259</v>
      </c>
      <c r="D47" t="s">
        <v>103</v>
      </c>
      <c r="E47" t="s">
        <v>260</v>
      </c>
    </row>
    <row r="49" spans="1:5">
      <c r="A49" t="s">
        <v>235</v>
      </c>
      <c r="B49" s="2" t="s">
        <v>215</v>
      </c>
      <c r="C49" t="s">
        <v>259</v>
      </c>
      <c r="D49" t="s">
        <v>93</v>
      </c>
      <c r="E49" t="s">
        <v>260</v>
      </c>
    </row>
    <row r="50" spans="1:5">
      <c r="B50" s="2" t="s">
        <v>208</v>
      </c>
      <c r="C50" t="s">
        <v>259</v>
      </c>
      <c r="D50" t="s">
        <v>96</v>
      </c>
      <c r="E50" t="s">
        <v>260</v>
      </c>
    </row>
    <row r="51" spans="1:5">
      <c r="B51" s="2" t="s">
        <v>236</v>
      </c>
      <c r="C51" t="s">
        <v>259</v>
      </c>
      <c r="D51" t="s">
        <v>100</v>
      </c>
      <c r="E51" t="s">
        <v>260</v>
      </c>
    </row>
    <row r="52" spans="1:5">
      <c r="B52" s="2" t="s">
        <v>218</v>
      </c>
      <c r="C52" t="s">
        <v>259</v>
      </c>
      <c r="D52" t="s">
        <v>106</v>
      </c>
      <c r="E52" t="s">
        <v>260</v>
      </c>
    </row>
    <row r="54" spans="1:5">
      <c r="A54" t="s">
        <v>241</v>
      </c>
      <c r="B54" s="2" t="s">
        <v>206</v>
      </c>
      <c r="C54" t="s">
        <v>259</v>
      </c>
      <c r="D54" t="s">
        <v>92</v>
      </c>
      <c r="E54" t="s">
        <v>260</v>
      </c>
    </row>
    <row r="55" spans="1:5">
      <c r="B55" s="2" t="s">
        <v>242</v>
      </c>
      <c r="C55" t="s">
        <v>259</v>
      </c>
      <c r="D55" t="s">
        <v>97</v>
      </c>
      <c r="E55" t="s">
        <v>260</v>
      </c>
    </row>
    <row r="56" spans="1:5">
      <c r="B56" s="2" t="s">
        <v>217</v>
      </c>
      <c r="C56" t="s">
        <v>259</v>
      </c>
      <c r="D56" t="s">
        <v>99</v>
      </c>
      <c r="E56" t="s">
        <v>260</v>
      </c>
    </row>
    <row r="57" spans="1:5">
      <c r="B57" s="2" t="s">
        <v>224</v>
      </c>
      <c r="C57" t="s">
        <v>259</v>
      </c>
      <c r="D57" t="s">
        <v>101</v>
      </c>
      <c r="E57" t="s">
        <v>260</v>
      </c>
    </row>
    <row r="59" spans="1:5">
      <c r="A59" t="s">
        <v>247</v>
      </c>
      <c r="B59" s="2" t="s">
        <v>207</v>
      </c>
      <c r="C59" t="s">
        <v>259</v>
      </c>
      <c r="D59" t="s">
        <v>94</v>
      </c>
      <c r="E59" t="s">
        <v>260</v>
      </c>
    </row>
    <row r="60" spans="1:5">
      <c r="B60" s="2" t="s">
        <v>209</v>
      </c>
      <c r="C60" t="s">
        <v>259</v>
      </c>
      <c r="D60" t="s">
        <v>98</v>
      </c>
      <c r="E60" t="s">
        <v>260</v>
      </c>
    </row>
    <row r="61" spans="1:5">
      <c r="B61" s="2" t="s">
        <v>236</v>
      </c>
      <c r="C61" t="s">
        <v>259</v>
      </c>
      <c r="D61" t="s">
        <v>100</v>
      </c>
      <c r="E61" t="s">
        <v>260</v>
      </c>
    </row>
    <row r="62" spans="1:5">
      <c r="B62" s="2" t="s">
        <v>230</v>
      </c>
      <c r="C62" t="s">
        <v>259</v>
      </c>
      <c r="D62" t="s">
        <v>103</v>
      </c>
      <c r="E62" t="s">
        <v>260</v>
      </c>
    </row>
    <row r="64" spans="1:5">
      <c r="A64" t="s">
        <v>252</v>
      </c>
      <c r="B64" s="2" t="s">
        <v>216</v>
      </c>
      <c r="C64" t="s">
        <v>259</v>
      </c>
      <c r="D64" t="s">
        <v>95</v>
      </c>
      <c r="E64" t="s">
        <v>260</v>
      </c>
    </row>
    <row r="65" spans="2:5">
      <c r="B65" s="2" t="s">
        <v>242</v>
      </c>
      <c r="C65" t="s">
        <v>259</v>
      </c>
      <c r="D65" t="s">
        <v>97</v>
      </c>
      <c r="E65" t="s">
        <v>260</v>
      </c>
    </row>
    <row r="66" spans="2:5">
      <c r="B66" s="2" t="s">
        <v>224</v>
      </c>
      <c r="C66" t="s">
        <v>259</v>
      </c>
      <c r="D66" t="s">
        <v>101</v>
      </c>
      <c r="E66" t="s">
        <v>260</v>
      </c>
    </row>
    <row r="67" spans="2:5">
      <c r="B67" s="2" t="s">
        <v>218</v>
      </c>
      <c r="C67" t="s">
        <v>259</v>
      </c>
      <c r="D67" t="s">
        <v>106</v>
      </c>
      <c r="E67" t="s">
        <v>260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B54D-9F46-4AD0-95BD-C189208C60A1}">
  <dimension ref="A3:K70"/>
  <sheetViews>
    <sheetView workbookViewId="0">
      <selection activeCell="D31" sqref="D31"/>
    </sheetView>
  </sheetViews>
  <sheetFormatPr defaultRowHeight="14.25"/>
  <cols>
    <col min="1" max="1" width="23.375" customWidth="1"/>
    <col min="3" max="3" width="10.5" customWidth="1"/>
  </cols>
  <sheetData>
    <row r="3" spans="1:11">
      <c r="A3" s="11" t="s">
        <v>128</v>
      </c>
    </row>
    <row r="4" spans="1:11">
      <c r="A4" s="12" t="s">
        <v>129</v>
      </c>
    </row>
    <row r="5" spans="1:11">
      <c r="A5" s="11" t="s">
        <v>134</v>
      </c>
    </row>
    <row r="6" spans="1:11">
      <c r="A6" s="12" t="s">
        <v>135</v>
      </c>
    </row>
    <row r="7" spans="1:11">
      <c r="A7" s="11" t="s">
        <v>261</v>
      </c>
    </row>
    <row r="8" spans="1:11">
      <c r="A8" s="13" t="s">
        <v>262</v>
      </c>
    </row>
    <row r="9" spans="1:11">
      <c r="A9" s="12" t="s">
        <v>139</v>
      </c>
    </row>
    <row r="10" spans="1:11">
      <c r="A10" s="11" t="s">
        <v>140</v>
      </c>
    </row>
    <row r="11" spans="1:11">
      <c r="A11" s="12" t="s">
        <v>263</v>
      </c>
    </row>
    <row r="14" spans="1:11">
      <c r="A14" t="s">
        <v>264</v>
      </c>
      <c r="B14" t="s">
        <v>181</v>
      </c>
      <c r="C14" t="s">
        <v>172</v>
      </c>
      <c r="D14" t="s">
        <v>265</v>
      </c>
      <c r="E14" t="s">
        <v>177</v>
      </c>
      <c r="F14" t="s">
        <v>176</v>
      </c>
      <c r="G14" t="s">
        <v>178</v>
      </c>
      <c r="H14" t="s">
        <v>175</v>
      </c>
      <c r="I14" t="s">
        <v>173</v>
      </c>
      <c r="J14" t="s">
        <v>180</v>
      </c>
      <c r="K14" t="s">
        <v>266</v>
      </c>
    </row>
    <row r="15" spans="1:11">
      <c r="B15" s="16"/>
    </row>
    <row r="16" spans="1:11">
      <c r="A16" t="s">
        <v>184</v>
      </c>
      <c r="B16" s="17">
        <v>-1.8022690697265071</v>
      </c>
      <c r="C16" s="17">
        <v>-0.38723393045133658</v>
      </c>
      <c r="D16" s="17">
        <v>-1.9359476036866492</v>
      </c>
      <c r="E16" s="17">
        <v>-1.3603121534539102</v>
      </c>
      <c r="F16" s="17">
        <v>-0.68480946471015536</v>
      </c>
      <c r="G16" s="17">
        <v>-0.74424352441403696</v>
      </c>
      <c r="H16" s="17">
        <v>-2.3928031491710402</v>
      </c>
      <c r="I16" s="17">
        <v>-0.52493520688521467</v>
      </c>
      <c r="J16" s="17">
        <v>-0.87487174583976113</v>
      </c>
    </row>
    <row r="17" spans="1:10">
      <c r="A17" t="s">
        <v>196</v>
      </c>
      <c r="B17" s="17">
        <v>0.86542559081574888</v>
      </c>
      <c r="C17" s="17">
        <v>0.56721940755344291</v>
      </c>
      <c r="D17" s="17">
        <v>0.8972736833262529</v>
      </c>
      <c r="E17" s="17">
        <v>0.65066893516317748</v>
      </c>
      <c r="F17" s="17">
        <v>-8.3186224630843991E-2</v>
      </c>
      <c r="G17" s="17">
        <v>0.20001687121630818</v>
      </c>
      <c r="H17" s="17">
        <v>0.30228393189333908</v>
      </c>
      <c r="I17" s="17">
        <v>0.28923351099807454</v>
      </c>
      <c r="J17" s="17">
        <v>0.24349404365751201</v>
      </c>
    </row>
    <row r="18" spans="1:10">
      <c r="A18" t="s">
        <v>197</v>
      </c>
      <c r="B18" s="17">
        <v>-0.10617888502495448</v>
      </c>
      <c r="C18" s="17">
        <v>8.1960280841083949E-2</v>
      </c>
      <c r="D18" s="17">
        <v>-0.11873861209671466</v>
      </c>
      <c r="E18" s="17">
        <v>-0.21621450930156186</v>
      </c>
      <c r="F18" s="17">
        <v>0.5799338381932001</v>
      </c>
      <c r="G18" s="17">
        <v>0.40007648925745548</v>
      </c>
      <c r="H18" s="17">
        <v>-5.2295972581845054E-2</v>
      </c>
      <c r="I18" s="17">
        <v>0.10175176171097858</v>
      </c>
      <c r="J18" s="17">
        <v>0.14516219548223452</v>
      </c>
    </row>
    <row r="19" spans="1:10">
      <c r="A19" t="s">
        <v>198</v>
      </c>
      <c r="B19" s="17">
        <v>-0.41173826770088323</v>
      </c>
      <c r="C19" s="17">
        <v>-0.45028155320828617</v>
      </c>
      <c r="D19" s="17">
        <v>-0.43557905063624547</v>
      </c>
      <c r="E19" s="17">
        <v>-0.13406311330401652</v>
      </c>
      <c r="F19" s="17">
        <v>-0.31661896434437958</v>
      </c>
      <c r="G19" s="17">
        <v>-0.43777996857220858</v>
      </c>
      <c r="H19" s="17">
        <v>0.17574389193804277</v>
      </c>
      <c r="I19" s="17">
        <v>-0.31931142283771002</v>
      </c>
      <c r="J19" s="17">
        <v>-0.12724900305712078</v>
      </c>
    </row>
    <row r="20" spans="1:10">
      <c r="A20" t="s">
        <v>199</v>
      </c>
      <c r="B20" s="17">
        <v>4.838392511813757E-2</v>
      </c>
      <c r="C20" s="17">
        <v>0.13086125387023131</v>
      </c>
      <c r="D20" s="17">
        <v>0.26990951731301233</v>
      </c>
      <c r="E20" s="17">
        <v>0.22413891093727673</v>
      </c>
      <c r="F20" s="17">
        <v>-4.1216493805596638E-2</v>
      </c>
      <c r="G20" s="17">
        <v>1.2210153890026047E-2</v>
      </c>
      <c r="H20" s="17">
        <v>8.7186685382501267E-2</v>
      </c>
      <c r="I20" s="17">
        <v>5.5059521317541542E-2</v>
      </c>
      <c r="J20" s="17">
        <v>5.5248392464937325E-2</v>
      </c>
    </row>
    <row r="24" spans="1:10">
      <c r="B24" s="14"/>
      <c r="C24" s="14"/>
    </row>
    <row r="26" spans="1:10">
      <c r="B26" s="5"/>
      <c r="C26" s="5"/>
    </row>
    <row r="27" spans="1:10">
      <c r="B27" s="5"/>
      <c r="C27" s="5"/>
    </row>
    <row r="28" spans="1:10">
      <c r="B28" s="5"/>
      <c r="C28" s="5"/>
    </row>
    <row r="29" spans="1:10">
      <c r="B29" s="5"/>
      <c r="C29" s="5"/>
    </row>
    <row r="30" spans="1:10">
      <c r="B30" s="5"/>
      <c r="C30" s="5"/>
    </row>
    <row r="31" spans="1:10">
      <c r="B31" s="5"/>
      <c r="C31" s="5"/>
    </row>
    <row r="32" spans="1:10">
      <c r="B32" s="5"/>
      <c r="C32" s="5"/>
    </row>
    <row r="33" spans="2:3">
      <c r="B33" s="5"/>
      <c r="C33" s="5"/>
    </row>
    <row r="34" spans="2:3">
      <c r="B34" s="5"/>
      <c r="C34" s="5"/>
    </row>
    <row r="35" spans="2:3">
      <c r="B35" s="5"/>
      <c r="C35" s="5"/>
    </row>
    <row r="36" spans="2:3">
      <c r="B36" s="5"/>
      <c r="C36" s="5"/>
    </row>
    <row r="37" spans="2:3">
      <c r="B37" s="5"/>
      <c r="C37" s="5"/>
    </row>
    <row r="38" spans="2:3">
      <c r="B38" s="5"/>
      <c r="C38" s="5"/>
    </row>
    <row r="39" spans="2:3">
      <c r="B39" s="5"/>
      <c r="C39" s="5"/>
    </row>
    <row r="40" spans="2:3">
      <c r="B40" s="5"/>
      <c r="C40" s="5"/>
    </row>
    <row r="41" spans="2:3">
      <c r="B41" s="5"/>
      <c r="C41" s="5"/>
    </row>
    <row r="42" spans="2:3">
      <c r="B42" s="5"/>
      <c r="C42" s="5"/>
    </row>
    <row r="43" spans="2:3">
      <c r="B43" s="5"/>
      <c r="C43" s="5"/>
    </row>
    <row r="44" spans="2:3">
      <c r="B44" s="5"/>
      <c r="C44" s="5"/>
    </row>
    <row r="45" spans="2:3">
      <c r="B45" s="5"/>
      <c r="C45" s="5"/>
    </row>
    <row r="46" spans="2:3">
      <c r="B46" s="5"/>
      <c r="C46" s="5"/>
    </row>
    <row r="47" spans="2:3">
      <c r="B47" s="5"/>
      <c r="C47" s="5"/>
    </row>
    <row r="48" spans="2:3">
      <c r="B48" s="5"/>
      <c r="C48" s="5"/>
    </row>
    <row r="49" spans="2:3">
      <c r="B49" s="5"/>
      <c r="C49" s="5"/>
    </row>
    <row r="50" spans="2:3">
      <c r="B50" s="5"/>
      <c r="C50" s="5"/>
    </row>
    <row r="51" spans="2:3">
      <c r="B51" s="5"/>
      <c r="C51" s="5"/>
    </row>
    <row r="52" spans="2:3">
      <c r="B52" s="5"/>
      <c r="C52" s="5"/>
    </row>
    <row r="53" spans="2:3">
      <c r="B53" s="5"/>
      <c r="C53" s="5"/>
    </row>
    <row r="54" spans="2:3">
      <c r="B54" s="5"/>
      <c r="C54" s="5"/>
    </row>
    <row r="55" spans="2:3">
      <c r="B55" s="5"/>
      <c r="C55" s="5"/>
    </row>
    <row r="56" spans="2:3">
      <c r="B56" s="5"/>
      <c r="C56" s="5"/>
    </row>
    <row r="57" spans="2:3">
      <c r="B57" s="5"/>
      <c r="C57" s="5"/>
    </row>
    <row r="58" spans="2:3">
      <c r="B58" s="5"/>
      <c r="C58" s="5"/>
    </row>
    <row r="59" spans="2:3">
      <c r="B59" s="5"/>
      <c r="C59" s="5"/>
    </row>
    <row r="60" spans="2:3">
      <c r="B60" s="5"/>
      <c r="C60" s="5"/>
    </row>
    <row r="61" spans="2:3">
      <c r="B61" s="5"/>
      <c r="C61" s="5"/>
    </row>
    <row r="62" spans="2:3">
      <c r="B62" s="5"/>
      <c r="C62" s="5"/>
    </row>
    <row r="63" spans="2:3">
      <c r="B63" s="5"/>
      <c r="C63" s="5"/>
    </row>
    <row r="64" spans="2:3">
      <c r="B64" s="5"/>
      <c r="C64" s="5"/>
    </row>
    <row r="65" spans="2:3">
      <c r="B65" s="5"/>
      <c r="C65" s="5"/>
    </row>
    <row r="66" spans="2:3">
      <c r="B66" s="5"/>
      <c r="C66" s="5"/>
    </row>
    <row r="67" spans="2:3">
      <c r="B67" s="5"/>
      <c r="C67" s="5"/>
    </row>
    <row r="68" spans="2:3">
      <c r="B68" s="5"/>
      <c r="C68" s="5"/>
    </row>
    <row r="69" spans="2:3">
      <c r="B69" s="5"/>
      <c r="C69" s="5"/>
    </row>
    <row r="70" spans="2:3">
      <c r="B70" s="5"/>
      <c r="C70" s="5"/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58F1-E5B2-471D-B093-F53EC33C666B}">
  <dimension ref="A2:L75"/>
  <sheetViews>
    <sheetView workbookViewId="0">
      <selection activeCell="B4" sqref="B4"/>
    </sheetView>
  </sheetViews>
  <sheetFormatPr defaultRowHeight="14.25"/>
  <cols>
    <col min="2" max="2" width="57.875" customWidth="1"/>
    <col min="4" max="4" width="9.625" customWidth="1"/>
    <col min="7" max="7" width="9.5" customWidth="1"/>
  </cols>
  <sheetData>
    <row r="2" spans="1:12"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  <c r="K2" t="s">
        <v>180</v>
      </c>
      <c r="L2" t="s">
        <v>181</v>
      </c>
    </row>
    <row r="3" spans="1:12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</row>
    <row r="4" spans="1:12" ht="15">
      <c r="A4" t="s">
        <v>206</v>
      </c>
      <c r="B4" t="s">
        <v>92</v>
      </c>
      <c r="C4" s="7">
        <v>-0.12609999999999999</v>
      </c>
      <c r="D4" s="7">
        <v>-0.40510000000000002</v>
      </c>
      <c r="E4" s="7">
        <v>1.02234</v>
      </c>
      <c r="F4" s="7">
        <v>0.58465</v>
      </c>
      <c r="G4" s="7">
        <v>-1.2500199999999999</v>
      </c>
      <c r="H4" s="7">
        <v>0.82372999999999996</v>
      </c>
      <c r="I4" s="7">
        <v>-0.62919999999999998</v>
      </c>
      <c r="J4" s="7">
        <v>-1.1851400000000001</v>
      </c>
      <c r="K4" s="7">
        <v>-0.80391999999999997</v>
      </c>
      <c r="L4" s="7">
        <v>0.20713999999999999</v>
      </c>
    </row>
    <row r="5" spans="1:12" ht="15">
      <c r="A5" t="s">
        <v>215</v>
      </c>
      <c r="B5" t="s">
        <v>93</v>
      </c>
      <c r="C5" s="7">
        <v>-0.19506000000000001</v>
      </c>
      <c r="D5" s="7">
        <v>-0.46396999999999999</v>
      </c>
      <c r="E5" s="7">
        <v>-1.0748200000000001</v>
      </c>
      <c r="F5" s="7">
        <v>0.14555999999999999</v>
      </c>
      <c r="G5" s="7">
        <v>1.0680099999999999</v>
      </c>
      <c r="H5" s="7">
        <v>-0.42514000000000002</v>
      </c>
      <c r="I5" s="7">
        <v>0.37386000000000003</v>
      </c>
      <c r="J5" s="7">
        <v>1.31134</v>
      </c>
      <c r="K5" s="7">
        <v>0.51100000000000001</v>
      </c>
      <c r="L5" s="7">
        <v>-0.28626000000000001</v>
      </c>
    </row>
    <row r="6" spans="1:12" ht="15">
      <c r="A6" t="s">
        <v>207</v>
      </c>
      <c r="B6" t="s">
        <v>94</v>
      </c>
      <c r="C6" s="7">
        <v>0.85224</v>
      </c>
      <c r="D6" s="7">
        <v>-0.53113999999999995</v>
      </c>
      <c r="E6" s="7">
        <v>-0.78602000000000005</v>
      </c>
      <c r="F6" s="7">
        <v>-0.72724</v>
      </c>
      <c r="G6" s="7">
        <v>1.07565</v>
      </c>
      <c r="H6" s="7">
        <v>-0.51893999999999996</v>
      </c>
      <c r="I6" s="7">
        <v>-0.60455000000000003</v>
      </c>
      <c r="J6" s="7">
        <v>0.61219000000000001</v>
      </c>
      <c r="K6" s="7">
        <v>0.99073999999999995</v>
      </c>
      <c r="L6" s="7">
        <v>-0.4556</v>
      </c>
    </row>
    <row r="7" spans="1:12" ht="15">
      <c r="A7" t="s">
        <v>216</v>
      </c>
      <c r="B7" t="s">
        <v>95</v>
      </c>
      <c r="C7" s="7">
        <v>0.62878000000000001</v>
      </c>
      <c r="D7" s="7">
        <v>0.34974</v>
      </c>
      <c r="E7" s="7">
        <v>2.367E-2</v>
      </c>
      <c r="F7" s="7">
        <v>-1.1360399999999999</v>
      </c>
      <c r="G7" s="7">
        <v>1.18021</v>
      </c>
      <c r="H7" s="7">
        <v>-0.62365000000000004</v>
      </c>
      <c r="I7" s="7">
        <v>0.62733000000000005</v>
      </c>
      <c r="J7" s="7">
        <v>-0.48681000000000002</v>
      </c>
      <c r="K7" s="7">
        <v>3.175E-2</v>
      </c>
      <c r="L7" s="7">
        <v>1.3977299999999999</v>
      </c>
    </row>
    <row r="8" spans="1:12" ht="15">
      <c r="A8" t="s">
        <v>208</v>
      </c>
      <c r="B8" t="s">
        <v>96</v>
      </c>
      <c r="C8" s="7">
        <v>-0.95869000000000004</v>
      </c>
      <c r="D8" s="7">
        <v>0.62692000000000003</v>
      </c>
      <c r="E8" s="7">
        <v>-0.88468999999999998</v>
      </c>
      <c r="F8" s="7">
        <v>1.1120000000000001</v>
      </c>
      <c r="G8" s="7">
        <v>-0.14726</v>
      </c>
      <c r="H8" s="7">
        <v>-0.33019999999999999</v>
      </c>
      <c r="I8" s="7">
        <v>1.1871799999999999</v>
      </c>
      <c r="J8" s="7">
        <v>1.28464</v>
      </c>
      <c r="K8" s="7">
        <v>-0.15409999999999999</v>
      </c>
      <c r="L8" s="7">
        <v>-4.8710000000000003E-2</v>
      </c>
    </row>
    <row r="9" spans="1:12" ht="15">
      <c r="A9" t="s">
        <v>242</v>
      </c>
      <c r="B9" t="s">
        <v>97</v>
      </c>
      <c r="C9" s="7">
        <v>0.77122000000000002</v>
      </c>
      <c r="D9" s="7">
        <v>-0.23771</v>
      </c>
      <c r="E9" s="7">
        <v>-0.31253999999999998</v>
      </c>
      <c r="F9" s="7">
        <v>-0.44362000000000001</v>
      </c>
      <c r="G9" s="7">
        <v>0.59270999999999996</v>
      </c>
      <c r="H9" s="7">
        <v>-0.66739999999999999</v>
      </c>
      <c r="I9" s="7">
        <v>-0.19717000000000001</v>
      </c>
      <c r="J9" s="7">
        <v>0.5111</v>
      </c>
      <c r="K9" s="7">
        <v>0.79781999999999997</v>
      </c>
      <c r="L9" s="7">
        <v>-0.90837999999999997</v>
      </c>
    </row>
    <row r="10" spans="1:12" ht="15">
      <c r="A10" t="s">
        <v>209</v>
      </c>
      <c r="B10" t="s">
        <v>98</v>
      </c>
      <c r="C10" s="7">
        <v>-0.82889999999999997</v>
      </c>
      <c r="D10" s="7">
        <v>1.34097</v>
      </c>
      <c r="E10" s="7">
        <v>-0.85389999999999999</v>
      </c>
      <c r="F10" s="7">
        <v>6.4869999999999997E-2</v>
      </c>
      <c r="G10" s="7">
        <v>7.3270000000000002E-2</v>
      </c>
      <c r="H10" s="7">
        <v>4.4569999999999999E-2</v>
      </c>
      <c r="I10" s="7">
        <v>4.9889999999999997E-2</v>
      </c>
      <c r="J10" s="7">
        <v>0.86504999999999999</v>
      </c>
      <c r="K10" s="7">
        <v>0.46422999999999998</v>
      </c>
      <c r="L10" s="7">
        <v>-0.39129999999999998</v>
      </c>
    </row>
    <row r="11" spans="1:12" ht="15">
      <c r="A11" t="s">
        <v>217</v>
      </c>
      <c r="B11" t="s">
        <v>99</v>
      </c>
      <c r="C11" s="7">
        <v>-0.57842000000000005</v>
      </c>
      <c r="D11" s="7">
        <v>0.64731000000000005</v>
      </c>
      <c r="E11" s="7">
        <v>-0.60104000000000002</v>
      </c>
      <c r="F11" s="7">
        <v>0.51283999999999996</v>
      </c>
      <c r="G11" s="7">
        <v>-0.68959000000000004</v>
      </c>
      <c r="H11" s="10">
        <v>0.60399000000000003</v>
      </c>
      <c r="I11" s="7">
        <v>-1.59188</v>
      </c>
      <c r="J11" s="7">
        <v>0.65871000000000002</v>
      </c>
      <c r="K11" s="7">
        <v>0.60799999999999998</v>
      </c>
      <c r="L11" s="7">
        <v>-1.36486</v>
      </c>
    </row>
    <row r="12" spans="1:12" ht="15">
      <c r="A12" t="s">
        <v>236</v>
      </c>
      <c r="B12" t="s">
        <v>100</v>
      </c>
      <c r="C12" s="7">
        <v>-0.36864999999999998</v>
      </c>
      <c r="D12" s="7">
        <v>0.16667000000000001</v>
      </c>
      <c r="E12" s="7">
        <v>-0.22570999999999999</v>
      </c>
      <c r="F12" s="7">
        <v>0.94960999999999995</v>
      </c>
      <c r="G12" s="7">
        <v>0.12970999999999999</v>
      </c>
      <c r="H12" s="7">
        <v>-0.72424999999999995</v>
      </c>
      <c r="I12" s="7">
        <v>2.0912500000000001</v>
      </c>
      <c r="J12" s="7">
        <v>0.52634999999999998</v>
      </c>
      <c r="K12" s="7">
        <v>-0.34210000000000002</v>
      </c>
      <c r="L12" s="7">
        <v>-8.7120000000000003E-2</v>
      </c>
    </row>
    <row r="13" spans="1:12" ht="15">
      <c r="A13" t="s">
        <v>224</v>
      </c>
      <c r="B13" t="s">
        <v>101</v>
      </c>
      <c r="C13" s="7">
        <v>1.02773</v>
      </c>
      <c r="D13" s="7">
        <v>-1.3314999999999999</v>
      </c>
      <c r="E13" s="7">
        <v>0.65958000000000006</v>
      </c>
      <c r="F13" s="7">
        <v>-0.99743000000000004</v>
      </c>
      <c r="G13" s="7">
        <v>-7.4120000000000005E-2</v>
      </c>
      <c r="H13" s="7">
        <v>0.35569000000000001</v>
      </c>
      <c r="I13" s="7">
        <v>-1.5071300000000001</v>
      </c>
      <c r="J13" s="7">
        <v>-0.70520000000000005</v>
      </c>
      <c r="K13" s="7">
        <v>0.35966999999999999</v>
      </c>
      <c r="L13" s="7">
        <v>-0.22933000000000001</v>
      </c>
    </row>
    <row r="14" spans="1:12" ht="15">
      <c r="A14" t="s">
        <v>230</v>
      </c>
      <c r="B14" t="s">
        <v>103</v>
      </c>
      <c r="C14" s="7">
        <v>0.48010000000000003</v>
      </c>
      <c r="D14" s="7">
        <v>0.21314</v>
      </c>
      <c r="E14" s="7">
        <v>0.86573</v>
      </c>
      <c r="F14" s="7">
        <v>-0.6825</v>
      </c>
      <c r="G14" s="7">
        <v>0.54791999999999996</v>
      </c>
      <c r="H14" s="7">
        <v>-0.61611000000000005</v>
      </c>
      <c r="I14" s="7">
        <v>1.4875400000000001</v>
      </c>
      <c r="J14" s="7">
        <v>-0.94943999999999995</v>
      </c>
      <c r="K14" s="7">
        <v>-0.53529000000000004</v>
      </c>
      <c r="L14" s="7">
        <v>1.09175</v>
      </c>
    </row>
    <row r="15" spans="1:12" ht="15">
      <c r="A15" t="s">
        <v>218</v>
      </c>
      <c r="B15" t="s">
        <v>106</v>
      </c>
      <c r="C15" s="7">
        <v>0.85616000000000003</v>
      </c>
      <c r="D15" s="7">
        <v>-0.78398999999999996</v>
      </c>
      <c r="E15" s="7">
        <v>0.89398999999999995</v>
      </c>
      <c r="F15" s="7">
        <v>-0.66896</v>
      </c>
      <c r="G15" s="7">
        <v>-0.76510999999999996</v>
      </c>
      <c r="H15" s="7">
        <v>0.60853999999999997</v>
      </c>
      <c r="I15" s="7">
        <v>-1.9272499999999999</v>
      </c>
      <c r="J15" s="7">
        <v>-1.0239100000000001</v>
      </c>
      <c r="K15" s="7">
        <v>0.13247999999999999</v>
      </c>
      <c r="L15" s="7">
        <v>-0.23465</v>
      </c>
    </row>
    <row r="17" spans="2:8">
      <c r="B17" t="s">
        <v>172</v>
      </c>
    </row>
    <row r="18" spans="2:8">
      <c r="B18" t="s">
        <v>173</v>
      </c>
    </row>
    <row r="19" spans="2:8">
      <c r="B19" t="s">
        <v>174</v>
      </c>
    </row>
    <row r="20" spans="2:8">
      <c r="B20" t="s">
        <v>175</v>
      </c>
    </row>
    <row r="21" spans="2:8">
      <c r="B21" t="s">
        <v>176</v>
      </c>
    </row>
    <row r="22" spans="2:8">
      <c r="B22" t="s">
        <v>177</v>
      </c>
    </row>
    <row r="23" spans="2:8">
      <c r="B23" t="s">
        <v>178</v>
      </c>
    </row>
    <row r="24" spans="2:8">
      <c r="B24" t="s">
        <v>179</v>
      </c>
    </row>
    <row r="25" spans="2:8">
      <c r="B25" t="s">
        <v>180</v>
      </c>
    </row>
    <row r="26" spans="2:8">
      <c r="B26" t="s">
        <v>181</v>
      </c>
    </row>
    <row r="27" spans="2:8">
      <c r="H27" s="8"/>
    </row>
    <row r="28" spans="2:8" ht="15" customHeight="1">
      <c r="H28" s="8"/>
    </row>
    <row r="29" spans="2:8">
      <c r="H29" s="8"/>
    </row>
    <row r="30" spans="2:8" ht="15" customHeight="1">
      <c r="H30" s="8"/>
    </row>
    <row r="31" spans="2:8">
      <c r="H31" s="8"/>
    </row>
    <row r="32" spans="2:8">
      <c r="H32" s="8"/>
    </row>
    <row r="33" spans="8:8">
      <c r="H33" s="8"/>
    </row>
    <row r="34" spans="8:8">
      <c r="H34" s="8"/>
    </row>
    <row r="35" spans="8:8" ht="15" customHeight="1">
      <c r="H35" s="8"/>
    </row>
    <row r="36" spans="8:8">
      <c r="H36" s="8"/>
    </row>
    <row r="37" spans="8:8">
      <c r="H37" s="8"/>
    </row>
    <row r="38" spans="8:8">
      <c r="H38" s="8"/>
    </row>
    <row r="39" spans="8:8">
      <c r="H39" s="8"/>
    </row>
    <row r="40" spans="8:8" ht="15" customHeight="1">
      <c r="H40" s="8"/>
    </row>
    <row r="41" spans="8:8">
      <c r="H41" s="8"/>
    </row>
    <row r="42" spans="8:8">
      <c r="H42" s="8"/>
    </row>
    <row r="43" spans="8:8">
      <c r="H43" s="8"/>
    </row>
    <row r="44" spans="8:8">
      <c r="H44" s="8"/>
    </row>
    <row r="45" spans="8:8" ht="15" customHeight="1">
      <c r="H45" s="8"/>
    </row>
    <row r="46" spans="8:8">
      <c r="H46" s="8"/>
    </row>
    <row r="47" spans="8:8">
      <c r="H47" s="8"/>
    </row>
    <row r="48" spans="8:8">
      <c r="H48" s="8"/>
    </row>
    <row r="49" spans="8:8">
      <c r="H49" s="8"/>
    </row>
    <row r="50" spans="8:8" ht="15" customHeight="1">
      <c r="H50" s="8"/>
    </row>
    <row r="51" spans="8:8">
      <c r="H51" s="8"/>
    </row>
    <row r="52" spans="8:8">
      <c r="H52" s="8"/>
    </row>
    <row r="53" spans="8:8">
      <c r="H53" s="8"/>
    </row>
    <row r="54" spans="8:8">
      <c r="H54" s="8"/>
    </row>
    <row r="55" spans="8:8" ht="15" customHeight="1">
      <c r="H55" s="8"/>
    </row>
    <row r="56" spans="8:8">
      <c r="H56" s="8"/>
    </row>
    <row r="57" spans="8:8">
      <c r="H57" s="8"/>
    </row>
    <row r="58" spans="8:8">
      <c r="H58" s="8"/>
    </row>
    <row r="59" spans="8:8">
      <c r="H59" s="8"/>
    </row>
    <row r="60" spans="8:8">
      <c r="H60" s="8"/>
    </row>
    <row r="61" spans="8:8">
      <c r="H61" s="8"/>
    </row>
    <row r="62" spans="8:8">
      <c r="H62" s="8"/>
    </row>
    <row r="63" spans="8:8">
      <c r="H63" s="8"/>
    </row>
    <row r="64" spans="8:8">
      <c r="H64" s="8"/>
    </row>
    <row r="65" spans="8:8" ht="15" customHeight="1">
      <c r="H65" s="8"/>
    </row>
    <row r="66" spans="8:8">
      <c r="H66" s="8"/>
    </row>
    <row r="67" spans="8:8">
      <c r="H67" s="8"/>
    </row>
    <row r="68" spans="8:8">
      <c r="H68" s="8"/>
    </row>
    <row r="69" spans="8:8">
      <c r="H69" s="8"/>
    </row>
    <row r="70" spans="8:8" ht="15" customHeight="1">
      <c r="H70" s="8"/>
    </row>
    <row r="71" spans="8:8">
      <c r="H71" s="8"/>
    </row>
    <row r="72" spans="8:8">
      <c r="H72" s="8"/>
    </row>
    <row r="73" spans="8:8">
      <c r="H73" s="8"/>
    </row>
    <row r="74" spans="8:8">
      <c r="H74" s="8"/>
    </row>
    <row r="75" spans="8:8" ht="15" customHeight="1">
      <c r="H75" s="8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EFEE-BAE4-4FDE-8731-1A46666F90BD}">
  <dimension ref="A1:P45"/>
  <sheetViews>
    <sheetView topLeftCell="A22" zoomScale="70" zoomScaleNormal="70" workbookViewId="0">
      <selection activeCell="A31" sqref="A31"/>
    </sheetView>
  </sheetViews>
  <sheetFormatPr defaultRowHeight="14.25"/>
  <cols>
    <col min="1" max="1" width="37.125" customWidth="1"/>
    <col min="2" max="2" width="117.75" bestFit="1" customWidth="1"/>
    <col min="10" max="10" width="11" customWidth="1"/>
  </cols>
  <sheetData>
    <row r="1" spans="1:10"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</row>
    <row r="2" spans="1:10">
      <c r="C2" t="s">
        <v>274</v>
      </c>
      <c r="D2" t="s">
        <v>275</v>
      </c>
      <c r="E2" t="s">
        <v>276</v>
      </c>
      <c r="F2" t="s">
        <v>277</v>
      </c>
      <c r="G2" t="s">
        <v>278</v>
      </c>
      <c r="H2" t="s">
        <v>279</v>
      </c>
    </row>
    <row r="3" spans="1:10">
      <c r="A3" s="57" t="s">
        <v>280</v>
      </c>
      <c r="B3" s="57" t="s">
        <v>61</v>
      </c>
      <c r="C3" s="5">
        <v>0.26944129320550042</v>
      </c>
      <c r="D3" s="5">
        <v>-0.20362770408953537</v>
      </c>
      <c r="E3" s="5">
        <v>-0.53289495207546156</v>
      </c>
      <c r="F3" s="5">
        <v>1.2256675932887655</v>
      </c>
      <c r="G3" s="5">
        <v>-0.15909443562100203</v>
      </c>
      <c r="H3" s="5">
        <v>-0.15061956477396116</v>
      </c>
      <c r="J3" s="311" t="s">
        <v>281</v>
      </c>
    </row>
    <row r="4" spans="1:10">
      <c r="A4" s="57" t="s">
        <v>282</v>
      </c>
      <c r="B4" s="57" t="s">
        <v>65</v>
      </c>
      <c r="C4" s="5">
        <v>0.62932154593719669</v>
      </c>
      <c r="D4" s="5">
        <v>0.43756055480037087</v>
      </c>
      <c r="E4" s="5">
        <v>-7.064201547058728E-2</v>
      </c>
      <c r="F4" s="5">
        <v>0.40816068024668062</v>
      </c>
      <c r="G4" s="5">
        <v>-0.64415191604065591</v>
      </c>
      <c r="H4" s="5">
        <v>-0.71408368497374231</v>
      </c>
      <c r="J4" s="312"/>
    </row>
    <row r="5" spans="1:10">
      <c r="A5" s="57" t="s">
        <v>283</v>
      </c>
      <c r="B5" s="57" t="s">
        <v>68</v>
      </c>
      <c r="C5" s="5">
        <v>0.97257491301936683</v>
      </c>
      <c r="D5" s="5">
        <v>-0.16137393682578022</v>
      </c>
      <c r="E5" s="5">
        <v>-0.36297118421064667</v>
      </c>
      <c r="F5" s="5">
        <v>0.49089682061547235</v>
      </c>
      <c r="G5" s="5">
        <v>-0.36235026039382623</v>
      </c>
      <c r="H5" s="5">
        <v>-0.17262419176327942</v>
      </c>
      <c r="J5" s="312"/>
    </row>
    <row r="6" spans="1:10">
      <c r="A6" s="57" t="s">
        <v>284</v>
      </c>
      <c r="B6" s="57" t="s">
        <v>71</v>
      </c>
      <c r="C6" s="5">
        <v>0.52123595688901525</v>
      </c>
      <c r="D6" s="5">
        <v>-0.64402339644526196</v>
      </c>
      <c r="E6" s="5">
        <v>0.34610908940764179</v>
      </c>
      <c r="F6" s="5">
        <v>-8.3494082231282338E-2</v>
      </c>
      <c r="G6" s="5">
        <v>-0.32106219858373636</v>
      </c>
      <c r="H6" s="5">
        <v>0.34724688464392561</v>
      </c>
      <c r="J6" s="312"/>
    </row>
    <row r="7" spans="1:10">
      <c r="A7" s="57" t="s">
        <v>285</v>
      </c>
      <c r="B7" s="57" t="s">
        <v>74</v>
      </c>
      <c r="C7" s="5">
        <v>0.26729988730660753</v>
      </c>
      <c r="D7" s="5">
        <v>0.28824137951003714</v>
      </c>
      <c r="E7" s="5">
        <v>0.47576558291317234</v>
      </c>
      <c r="F7" s="5">
        <v>-1.6777627652800708</v>
      </c>
      <c r="G7" s="5">
        <v>0.17019468560884671</v>
      </c>
      <c r="H7" s="5">
        <v>0.21453417306547837</v>
      </c>
      <c r="J7" s="312"/>
    </row>
    <row r="8" spans="1:10">
      <c r="A8" s="57" t="s">
        <v>286</v>
      </c>
      <c r="B8" s="57" t="s">
        <v>77</v>
      </c>
      <c r="C8" s="5">
        <v>-0.58174680924804256</v>
      </c>
      <c r="D8" s="5">
        <v>-0.20500938355202702</v>
      </c>
      <c r="E8" s="5">
        <v>-0.26689599472946612</v>
      </c>
      <c r="F8" s="5">
        <v>-1.8838738927542346E-2</v>
      </c>
      <c r="G8" s="5">
        <v>0.43051162185040792</v>
      </c>
      <c r="H8" s="5">
        <v>0.57759385749438985</v>
      </c>
      <c r="J8" s="312"/>
    </row>
    <row r="9" spans="1:10">
      <c r="A9" s="57" t="s">
        <v>287</v>
      </c>
      <c r="B9" s="57" t="s">
        <v>80</v>
      </c>
      <c r="C9" s="5">
        <v>-0.40217119350610336</v>
      </c>
      <c r="D9" s="5">
        <v>-0.1909564513815559</v>
      </c>
      <c r="E9" s="5">
        <v>0.2305577012215819</v>
      </c>
      <c r="F9" s="5">
        <v>-0.28564540304006225</v>
      </c>
      <c r="G9" s="5">
        <v>0.6098443556468659</v>
      </c>
      <c r="H9" s="5">
        <v>-3.4510898098199627E-2</v>
      </c>
      <c r="J9" s="312"/>
    </row>
    <row r="10" spans="1:10">
      <c r="A10" s="57" t="s">
        <v>288</v>
      </c>
      <c r="B10" s="57" t="s">
        <v>83</v>
      </c>
      <c r="C10" s="5">
        <v>-1.2393737686784749</v>
      </c>
      <c r="D10" s="5">
        <v>0.59866169755389653</v>
      </c>
      <c r="E10" s="5">
        <v>0.37533674516860677</v>
      </c>
      <c r="F10" s="5">
        <v>-7.5687351936608568E-2</v>
      </c>
      <c r="G10" s="5">
        <v>-0.52232499645552821</v>
      </c>
      <c r="H10" s="5">
        <v>7.4217645957303902E-2</v>
      </c>
      <c r="J10" s="312"/>
    </row>
    <row r="11" spans="1:10">
      <c r="A11" s="57" t="s">
        <v>289</v>
      </c>
      <c r="B11" s="57" t="s">
        <v>86</v>
      </c>
      <c r="C11" s="5">
        <v>0.36544626714364425</v>
      </c>
      <c r="D11" s="5">
        <v>-0.37256086614513634</v>
      </c>
      <c r="E11" s="5">
        <v>-0.42803114146141041</v>
      </c>
      <c r="F11" s="5">
        <v>-6.1250320773431635E-2</v>
      </c>
      <c r="G11" s="5">
        <v>1.0255755231108477</v>
      </c>
      <c r="H11" s="5">
        <v>5.5091745729392199E-3</v>
      </c>
      <c r="J11" s="312"/>
    </row>
    <row r="12" spans="1:10">
      <c r="A12" s="57" t="s">
        <v>290</v>
      </c>
      <c r="B12" s="57" t="s">
        <v>89</v>
      </c>
      <c r="C12" s="5">
        <v>-0.8109371557661611</v>
      </c>
      <c r="D12" s="5">
        <v>0.47502291941382341</v>
      </c>
      <c r="E12" s="5">
        <v>0.1945361570599104</v>
      </c>
      <c r="F12" s="5">
        <v>0.15864909136647018</v>
      </c>
      <c r="G12" s="5">
        <v>-0.28921277679783042</v>
      </c>
      <c r="H12" s="5">
        <v>-0.14573686231020144</v>
      </c>
      <c r="J12" s="312"/>
    </row>
    <row r="13" spans="1:10">
      <c r="A13" s="166" t="s">
        <v>38</v>
      </c>
      <c r="B13" s="166" t="s">
        <v>291</v>
      </c>
      <c r="C13" s="167">
        <v>-0.16306113847584006</v>
      </c>
      <c r="D13" s="167">
        <v>0.50874595032542236</v>
      </c>
      <c r="E13" s="167">
        <v>0.14940621618471173</v>
      </c>
      <c r="F13" s="167">
        <v>-0.10588057299809567</v>
      </c>
      <c r="G13" s="167">
        <v>-0.34555816411356088</v>
      </c>
      <c r="H13" s="167">
        <v>-0.45160412088327584</v>
      </c>
    </row>
    <row r="14" spans="1:10">
      <c r="A14" s="166" t="s">
        <v>292</v>
      </c>
      <c r="B14" s="166" t="s">
        <v>293</v>
      </c>
      <c r="C14" s="167">
        <v>0.23756554564557936</v>
      </c>
      <c r="D14" s="167">
        <v>-0.25041557543069765</v>
      </c>
      <c r="E14" s="167">
        <v>-9.4253862193619781E-2</v>
      </c>
      <c r="F14" s="167">
        <v>1.7665685076460987E-2</v>
      </c>
      <c r="G14" s="167">
        <v>0.30950362243433743</v>
      </c>
      <c r="H14" s="167">
        <v>0.16054651582829285</v>
      </c>
    </row>
    <row r="15" spans="1:10">
      <c r="A15" s="166" t="s">
        <v>294</v>
      </c>
      <c r="B15" s="166" t="s">
        <v>295</v>
      </c>
      <c r="C15" s="167">
        <v>-0.13742996853761372</v>
      </c>
      <c r="D15" s="167">
        <v>-6.6477827358639085E-3</v>
      </c>
      <c r="E15" s="167">
        <v>0.51879040340601812</v>
      </c>
      <c r="F15" s="167">
        <v>-0.47263556480205443</v>
      </c>
      <c r="G15" s="167">
        <v>0.32815170693072021</v>
      </c>
      <c r="H15" s="167">
        <v>-0.23548421427831004</v>
      </c>
    </row>
    <row r="16" spans="1:10">
      <c r="A16" s="166" t="s">
        <v>296</v>
      </c>
      <c r="B16" s="166" t="s">
        <v>297</v>
      </c>
      <c r="C16" s="167">
        <v>0.11017980343249904</v>
      </c>
      <c r="D16" s="167">
        <v>0.3717097363976879</v>
      </c>
      <c r="E16" s="167">
        <v>-0.52416956354427968</v>
      </c>
      <c r="F16" s="167">
        <v>0.3026249908073308</v>
      </c>
      <c r="G16" s="167">
        <v>0.61450628701642895</v>
      </c>
      <c r="H16" s="167">
        <v>-0.67901123119826956</v>
      </c>
    </row>
    <row r="17" spans="1:16">
      <c r="A17" s="166" t="s">
        <v>48</v>
      </c>
      <c r="B17" s="166" t="s">
        <v>298</v>
      </c>
      <c r="C17" s="167">
        <v>0.11044713591224123</v>
      </c>
      <c r="D17" s="167">
        <v>0.51004057246965717</v>
      </c>
      <c r="E17" s="167">
        <v>-0.88360267338068588</v>
      </c>
      <c r="F17" s="167">
        <v>0.32322955153403232</v>
      </c>
      <c r="G17" s="167">
        <v>0.53750108280402187</v>
      </c>
      <c r="H17" s="167">
        <v>-0.69101906395426915</v>
      </c>
    </row>
    <row r="18" spans="1:16">
      <c r="A18" s="166" t="s">
        <v>299</v>
      </c>
      <c r="B18" s="166" t="s">
        <v>300</v>
      </c>
      <c r="C18" s="167">
        <v>-0.19547807262998576</v>
      </c>
      <c r="D18" s="167">
        <v>0.62208332729671767</v>
      </c>
      <c r="E18" s="167">
        <v>-0.3973199391070128</v>
      </c>
      <c r="F18" s="167">
        <v>-2.3264562088011378E-2</v>
      </c>
      <c r="G18" s="167">
        <v>0.52534574022195024</v>
      </c>
      <c r="H18" s="167">
        <v>-0.87004319224938553</v>
      </c>
    </row>
    <row r="19" spans="1:16">
      <c r="A19" s="166" t="s">
        <v>301</v>
      </c>
      <c r="B19" s="166" t="s">
        <v>302</v>
      </c>
      <c r="C19" s="167">
        <v>-0.66609840875147552</v>
      </c>
      <c r="D19" s="167">
        <v>0.43163706702379318</v>
      </c>
      <c r="E19" s="167">
        <v>0.62507815681130829</v>
      </c>
      <c r="F19" s="167">
        <v>-0.61712636351021954</v>
      </c>
      <c r="G19" s="167">
        <v>0.23012223600752385</v>
      </c>
      <c r="H19" s="167">
        <v>-0.58904589600859181</v>
      </c>
    </row>
    <row r="20" spans="1:16">
      <c r="A20" s="166" t="s">
        <v>303</v>
      </c>
      <c r="B20" s="166" t="s">
        <v>304</v>
      </c>
      <c r="C20" s="167">
        <v>-0.1482072175530143</v>
      </c>
      <c r="D20" s="167">
        <v>7.0506385600201602E-2</v>
      </c>
      <c r="E20" s="167">
        <v>0.40668552813149872</v>
      </c>
      <c r="F20" s="167">
        <v>-0.40691321635103617</v>
      </c>
      <c r="G20" s="167">
        <v>0.25456074830794256</v>
      </c>
      <c r="H20" s="167">
        <v>-0.36367818895452025</v>
      </c>
    </row>
    <row r="21" spans="1:16">
      <c r="A21" s="166" t="s">
        <v>17</v>
      </c>
      <c r="B21" s="166" t="s">
        <v>305</v>
      </c>
      <c r="C21" s="167">
        <v>-0.2067105516842305</v>
      </c>
      <c r="D21" s="167">
        <v>0.27271545127294389</v>
      </c>
      <c r="E21" s="167">
        <v>0.78569574406880283</v>
      </c>
      <c r="F21" s="167">
        <v>-0.72789200846018598</v>
      </c>
      <c r="G21" s="167">
        <v>0.21381349151658766</v>
      </c>
      <c r="H21" s="167">
        <v>-0.49365115358420264</v>
      </c>
    </row>
    <row r="25" spans="1:16">
      <c r="B25" s="107" t="s">
        <v>184</v>
      </c>
      <c r="C25">
        <v>-0.63800000000000001</v>
      </c>
      <c r="D25">
        <v>0.10299999999999999</v>
      </c>
      <c r="E25">
        <v>-0.315</v>
      </c>
      <c r="F25">
        <v>-0.26100000000000001</v>
      </c>
      <c r="G25">
        <v>-0.314</v>
      </c>
      <c r="K25" s="5"/>
      <c r="L25" s="5"/>
      <c r="M25" s="5"/>
      <c r="N25" s="5"/>
      <c r="O25" s="5"/>
      <c r="P25" s="5"/>
    </row>
    <row r="26" spans="1:16" ht="15.75">
      <c r="B26" s="106" t="s">
        <v>306</v>
      </c>
      <c r="C26">
        <v>-0.83299999999999996</v>
      </c>
      <c r="D26">
        <v>0.44600000000000001</v>
      </c>
      <c r="E26">
        <v>0.86299999999999999</v>
      </c>
      <c r="F26">
        <v>-8.1000000000000003E-2</v>
      </c>
      <c r="G26">
        <v>-0.41399999999999998</v>
      </c>
      <c r="K26" s="5"/>
      <c r="L26" s="5"/>
      <c r="M26" s="5"/>
      <c r="N26" s="5"/>
      <c r="O26" s="5"/>
      <c r="P26" s="5"/>
    </row>
    <row r="27" spans="1:16" ht="15.75">
      <c r="B27" s="106" t="s">
        <v>307</v>
      </c>
      <c r="C27">
        <v>-0.82599999999999996</v>
      </c>
      <c r="D27">
        <v>-0.13500000000000001</v>
      </c>
      <c r="E27">
        <v>-0.154</v>
      </c>
      <c r="F27">
        <v>-0.88600000000000001</v>
      </c>
      <c r="G27">
        <v>-0.78200000000000003</v>
      </c>
      <c r="K27" s="5"/>
      <c r="L27" s="5"/>
      <c r="M27" s="5"/>
      <c r="N27" s="5"/>
      <c r="O27" s="5"/>
      <c r="P27" s="5"/>
    </row>
    <row r="28" spans="1:16" ht="15.75">
      <c r="B28" s="106" t="s">
        <v>308</v>
      </c>
      <c r="C28">
        <v>-0.186</v>
      </c>
      <c r="D28">
        <v>-0.77</v>
      </c>
      <c r="E28">
        <v>-0.443</v>
      </c>
      <c r="F28">
        <v>0.11600000000000001</v>
      </c>
      <c r="G28">
        <v>0.218</v>
      </c>
      <c r="K28" s="5"/>
      <c r="L28" s="5"/>
      <c r="M28" s="5"/>
      <c r="N28" s="5"/>
      <c r="O28" s="5"/>
      <c r="P28" s="5"/>
    </row>
    <row r="29" spans="1:16" ht="15.75">
      <c r="B29" s="106" t="s">
        <v>309</v>
      </c>
      <c r="C29">
        <v>1.9E-2</v>
      </c>
      <c r="D29">
        <v>-0.29099999999999998</v>
      </c>
      <c r="E29">
        <v>0.628</v>
      </c>
      <c r="F29">
        <v>-8.8999999999999996E-2</v>
      </c>
      <c r="G29">
        <v>0.46100000000000002</v>
      </c>
      <c r="K29" s="5"/>
      <c r="L29" s="5"/>
      <c r="M29" s="5"/>
      <c r="N29" s="5"/>
      <c r="O29" s="5"/>
      <c r="P29" s="5"/>
    </row>
    <row r="30" spans="1:16">
      <c r="K30" s="5"/>
      <c r="L30" s="5"/>
      <c r="M30" s="5"/>
      <c r="N30" s="5"/>
      <c r="O30" s="5"/>
      <c r="P30" s="5"/>
    </row>
    <row r="31" spans="1:16">
      <c r="C31" t="s">
        <v>146</v>
      </c>
      <c r="D31" t="s">
        <v>147</v>
      </c>
      <c r="E31" t="s">
        <v>148</v>
      </c>
      <c r="F31" t="s">
        <v>149</v>
      </c>
      <c r="G31" t="s">
        <v>150</v>
      </c>
      <c r="H31" t="s">
        <v>151</v>
      </c>
      <c r="K31" s="5"/>
      <c r="L31" s="5"/>
      <c r="M31" s="5"/>
      <c r="N31" s="5"/>
      <c r="O31" s="5"/>
      <c r="P31" s="5"/>
    </row>
    <row r="32" spans="1:16">
      <c r="A32" t="s">
        <v>152</v>
      </c>
      <c r="B32" s="57" t="s">
        <v>61</v>
      </c>
      <c r="C32">
        <v>-0.61955610000000005</v>
      </c>
      <c r="D32">
        <v>-0.18914420000000001</v>
      </c>
      <c r="E32">
        <v>-0.20569580000000001</v>
      </c>
      <c r="F32">
        <v>0.27581329999999998</v>
      </c>
      <c r="G32">
        <v>1.1020487999999999</v>
      </c>
      <c r="H32">
        <v>-0.43911410000000001</v>
      </c>
      <c r="K32" s="5"/>
      <c r="L32" s="5"/>
      <c r="M32" s="5"/>
      <c r="N32" s="5"/>
      <c r="O32" s="5"/>
      <c r="P32" s="5"/>
    </row>
    <row r="33" spans="1:16">
      <c r="A33" t="s">
        <v>153</v>
      </c>
      <c r="B33" s="57" t="s">
        <v>65</v>
      </c>
      <c r="C33">
        <v>-0.10326780000000001</v>
      </c>
      <c r="D33">
        <v>-0.64100460000000004</v>
      </c>
      <c r="E33">
        <v>-0.56009260000000005</v>
      </c>
      <c r="F33">
        <v>0.21961130000000001</v>
      </c>
      <c r="G33">
        <v>0.5993271</v>
      </c>
      <c r="H33">
        <v>0.36702659999999998</v>
      </c>
      <c r="K33" s="5"/>
      <c r="L33" s="5"/>
      <c r="M33" s="5"/>
      <c r="N33" s="5"/>
      <c r="O33" s="5"/>
      <c r="P33" s="5"/>
    </row>
    <row r="34" spans="1:16">
      <c r="A34" t="s">
        <v>154</v>
      </c>
      <c r="B34" s="57" t="s">
        <v>68</v>
      </c>
      <c r="C34">
        <v>-0.37433450000000001</v>
      </c>
      <c r="D34">
        <v>-0.64428399999999997</v>
      </c>
      <c r="E34">
        <v>-0.42174790000000001</v>
      </c>
      <c r="F34">
        <v>0.94298340000000003</v>
      </c>
      <c r="G34">
        <v>0.23985090000000001</v>
      </c>
      <c r="H34">
        <v>-0.35583019999999999</v>
      </c>
      <c r="K34" s="5"/>
      <c r="L34" s="5"/>
      <c r="M34" s="5"/>
      <c r="N34" s="5"/>
      <c r="O34" s="5"/>
      <c r="P34" s="5"/>
    </row>
    <row r="35" spans="1:16">
      <c r="A35" t="s">
        <v>155</v>
      </c>
      <c r="B35" s="57" t="s">
        <v>71</v>
      </c>
      <c r="C35">
        <v>0.31059750000000003</v>
      </c>
      <c r="D35">
        <v>-0.51697919999999997</v>
      </c>
      <c r="E35">
        <v>0.53883669999999995</v>
      </c>
      <c r="F35">
        <v>0.44203900000000002</v>
      </c>
      <c r="G35">
        <v>-4.1602500000000001E-2</v>
      </c>
      <c r="H35">
        <v>-0.52379039999999999</v>
      </c>
      <c r="K35" s="5"/>
      <c r="L35" s="5"/>
      <c r="M35" s="5"/>
      <c r="N35" s="5"/>
      <c r="O35" s="5"/>
      <c r="P35" s="5"/>
    </row>
    <row r="36" spans="1:16">
      <c r="A36" t="s">
        <v>156</v>
      </c>
      <c r="B36" s="57" t="s">
        <v>74</v>
      </c>
      <c r="C36">
        <v>0.65947160000000005</v>
      </c>
      <c r="D36">
        <v>0.2388004</v>
      </c>
      <c r="E36">
        <v>0.28749930000000001</v>
      </c>
      <c r="F36">
        <v>0.33139420000000003</v>
      </c>
      <c r="G36">
        <v>-1.4513895999999999</v>
      </c>
      <c r="H36">
        <v>0.3404199</v>
      </c>
      <c r="K36" s="5"/>
      <c r="L36" s="5"/>
      <c r="M36" s="5"/>
      <c r="N36" s="5"/>
      <c r="O36" s="5"/>
      <c r="P36" s="5"/>
    </row>
    <row r="37" spans="1:16">
      <c r="A37" t="s">
        <v>157</v>
      </c>
      <c r="B37" s="57" t="s">
        <v>77</v>
      </c>
      <c r="C37">
        <v>-0.20327500000000001</v>
      </c>
      <c r="D37">
        <v>4.1822999999999999E-2</v>
      </c>
      <c r="E37">
        <v>0.36492000000000002</v>
      </c>
      <c r="F37">
        <v>-4.1264500000000003E-2</v>
      </c>
      <c r="G37">
        <v>-0.28184399999999998</v>
      </c>
      <c r="H37">
        <v>-6.7285700000000004E-2</v>
      </c>
      <c r="K37" s="5"/>
      <c r="L37" s="5"/>
      <c r="M37" s="5"/>
      <c r="N37" s="5"/>
      <c r="O37" s="5"/>
      <c r="P37" s="5"/>
    </row>
    <row r="38" spans="1:16">
      <c r="A38" t="s">
        <v>158</v>
      </c>
      <c r="B38" s="57" t="s">
        <v>80</v>
      </c>
      <c r="C38">
        <v>7.9979999999999996E-2</v>
      </c>
      <c r="D38">
        <v>0.82180350000000002</v>
      </c>
      <c r="E38">
        <v>1.6168200000000001E-2</v>
      </c>
      <c r="F38">
        <v>-0.58447099999999996</v>
      </c>
      <c r="G38">
        <v>-0.28064440000000002</v>
      </c>
      <c r="H38">
        <v>-8.9934799999999995E-2</v>
      </c>
      <c r="K38" s="5"/>
      <c r="L38" s="5"/>
      <c r="M38" s="5"/>
      <c r="N38" s="5"/>
      <c r="O38" s="5"/>
      <c r="P38" s="5"/>
    </row>
    <row r="39" spans="1:16">
      <c r="A39" t="s">
        <v>159</v>
      </c>
      <c r="B39" s="57" t="s">
        <v>83</v>
      </c>
      <c r="C39">
        <v>0.6328414</v>
      </c>
      <c r="D39">
        <v>-0.2130098</v>
      </c>
      <c r="E39">
        <v>0.16366900000000001</v>
      </c>
      <c r="F39">
        <v>-0.97640490000000002</v>
      </c>
      <c r="G39">
        <v>0.16454579999999999</v>
      </c>
      <c r="H39">
        <v>0.65916520000000001</v>
      </c>
      <c r="K39" s="5"/>
      <c r="L39" s="5"/>
      <c r="M39" s="5"/>
      <c r="N39" s="5"/>
      <c r="O39" s="5"/>
      <c r="P39" s="5"/>
    </row>
    <row r="40" spans="1:16">
      <c r="A40" t="s">
        <v>160</v>
      </c>
      <c r="B40" s="57" t="s">
        <v>86</v>
      </c>
      <c r="C40">
        <v>-0.72108819999999996</v>
      </c>
      <c r="D40">
        <v>1.0038404999999999</v>
      </c>
      <c r="E40">
        <v>-9.8637299999999997E-2</v>
      </c>
      <c r="F40">
        <v>0.1098268</v>
      </c>
      <c r="G40">
        <v>-0.20952580000000001</v>
      </c>
      <c r="H40">
        <v>-0.55637400000000004</v>
      </c>
      <c r="K40" s="5"/>
      <c r="L40" s="5"/>
      <c r="M40" s="5"/>
      <c r="N40" s="5"/>
      <c r="O40" s="5"/>
      <c r="P40" s="5"/>
    </row>
    <row r="41" spans="1:16">
      <c r="A41" t="s">
        <v>161</v>
      </c>
      <c r="B41" s="57" t="s">
        <v>89</v>
      </c>
      <c r="C41">
        <v>0.26279609999999998</v>
      </c>
      <c r="D41">
        <v>-0.1268389</v>
      </c>
      <c r="E41">
        <v>-4.8404900000000001E-2</v>
      </c>
      <c r="F41">
        <v>-0.65115029999999996</v>
      </c>
      <c r="G41">
        <v>0.44821070000000002</v>
      </c>
      <c r="H41">
        <v>0.5718588</v>
      </c>
      <c r="K41" s="5"/>
      <c r="L41" s="5"/>
      <c r="M41" s="5"/>
      <c r="N41" s="5"/>
      <c r="O41" s="5"/>
      <c r="P41" s="5"/>
    </row>
    <row r="42" spans="1:16">
      <c r="A42" t="s">
        <v>162</v>
      </c>
      <c r="B42" t="s">
        <v>162</v>
      </c>
      <c r="C42">
        <v>0.70308170000000003</v>
      </c>
      <c r="D42">
        <v>5.8883100000000001E-2</v>
      </c>
      <c r="E42">
        <v>-0.36951679999999998</v>
      </c>
      <c r="F42">
        <v>-0.24211840000000001</v>
      </c>
      <c r="G42">
        <v>-0.76600990000000002</v>
      </c>
      <c r="H42">
        <v>0.3211019</v>
      </c>
      <c r="K42" s="5"/>
      <c r="L42" s="5"/>
      <c r="M42" s="5"/>
      <c r="N42" s="5"/>
      <c r="O42" s="5"/>
      <c r="P42" s="5"/>
    </row>
    <row r="43" spans="1:16">
      <c r="A43" t="s">
        <v>163</v>
      </c>
      <c r="B43" t="s">
        <v>163</v>
      </c>
      <c r="C43">
        <v>0.19029450000000001</v>
      </c>
      <c r="D43">
        <v>-0.16004189999999999</v>
      </c>
      <c r="E43">
        <v>-0.33129560000000002</v>
      </c>
      <c r="F43">
        <v>-0.31196430000000003</v>
      </c>
      <c r="G43">
        <v>5.2972999999999996E-3</v>
      </c>
      <c r="H43">
        <v>0.45892440000000001</v>
      </c>
      <c r="K43" s="5"/>
      <c r="L43" s="5"/>
      <c r="M43" s="5"/>
      <c r="N43" s="5"/>
      <c r="O43" s="5"/>
      <c r="P43" s="5"/>
    </row>
    <row r="44" spans="1:16">
      <c r="A44" t="s">
        <v>164</v>
      </c>
      <c r="B44" t="s">
        <v>164</v>
      </c>
      <c r="C44">
        <v>0.48921110000000001</v>
      </c>
      <c r="D44">
        <v>0.21572730000000001</v>
      </c>
      <c r="E44">
        <v>-0.3631568</v>
      </c>
      <c r="F44">
        <v>-0.49473719999999999</v>
      </c>
      <c r="G44">
        <v>-0.46150659999999999</v>
      </c>
      <c r="H44">
        <v>0.2974851</v>
      </c>
    </row>
    <row r="45" spans="1:16">
      <c r="A45" t="s">
        <v>165</v>
      </c>
      <c r="B45" t="s">
        <v>165</v>
      </c>
      <c r="C45">
        <v>0.51548910000000003</v>
      </c>
      <c r="D45">
        <v>6.5332200000000007E-2</v>
      </c>
      <c r="E45">
        <v>1.7420000000000001E-4</v>
      </c>
      <c r="F45">
        <v>-0.37011919999999998</v>
      </c>
      <c r="G45">
        <v>-0.40889609999999998</v>
      </c>
      <c r="H45">
        <v>-6.8578600000000003E-2</v>
      </c>
    </row>
  </sheetData>
  <mergeCells count="1">
    <mergeCell ref="J3:J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8532-E2C7-4C52-A21D-09EF828EC760}">
  <dimension ref="A1:AL124"/>
  <sheetViews>
    <sheetView topLeftCell="A20" zoomScale="85" zoomScaleNormal="85" workbookViewId="0">
      <selection activeCell="L29" sqref="L29"/>
    </sheetView>
  </sheetViews>
  <sheetFormatPr defaultRowHeight="14.25"/>
  <cols>
    <col min="11" max="11" width="4.375" customWidth="1"/>
    <col min="12" max="12" width="25.25" customWidth="1"/>
    <col min="27" max="27" width="8.375" customWidth="1"/>
  </cols>
  <sheetData>
    <row r="1" spans="1:34">
      <c r="A1" t="s">
        <v>310</v>
      </c>
      <c r="B1" s="25"/>
      <c r="C1" s="25"/>
      <c r="D1" s="25"/>
      <c r="E1" s="25"/>
      <c r="F1" s="25"/>
    </row>
    <row r="2" spans="1:34">
      <c r="A2" t="s">
        <v>311</v>
      </c>
      <c r="B2" s="25"/>
      <c r="C2" s="25"/>
      <c r="D2" s="25"/>
      <c r="E2" s="25"/>
      <c r="F2" s="25"/>
    </row>
    <row r="3" spans="1:34">
      <c r="A3" t="s">
        <v>310</v>
      </c>
      <c r="B3" s="25"/>
      <c r="C3" s="25"/>
      <c r="D3" s="25"/>
      <c r="E3" s="25"/>
      <c r="F3" s="25"/>
    </row>
    <row r="4" spans="1:34">
      <c r="A4" t="s">
        <v>312</v>
      </c>
      <c r="B4" s="25"/>
      <c r="C4" s="25"/>
      <c r="D4" s="25"/>
      <c r="E4" s="25"/>
      <c r="F4" s="25"/>
    </row>
    <row r="5" spans="1:34" ht="17.25">
      <c r="A5" t="s">
        <v>313</v>
      </c>
      <c r="B5" s="25"/>
      <c r="C5" s="25"/>
      <c r="D5" s="25"/>
      <c r="E5" s="25"/>
      <c r="F5" s="25"/>
    </row>
    <row r="6" spans="1:34" ht="17.25">
      <c r="A6" t="s">
        <v>314</v>
      </c>
      <c r="B6" s="25"/>
      <c r="C6" s="25"/>
      <c r="D6" s="25"/>
      <c r="E6" s="25"/>
      <c r="F6" s="25"/>
      <c r="W6" s="39" t="s">
        <v>315</v>
      </c>
      <c r="X6" s="39" t="s">
        <v>316</v>
      </c>
      <c r="Y6" s="39" t="s">
        <v>317</v>
      </c>
      <c r="Z6" s="39" t="s">
        <v>318</v>
      </c>
      <c r="AA6" s="39" t="s">
        <v>319</v>
      </c>
      <c r="AB6" s="39" t="s">
        <v>320</v>
      </c>
      <c r="AC6" s="39" t="s">
        <v>321</v>
      </c>
      <c r="AD6" s="39" t="s">
        <v>322</v>
      </c>
      <c r="AE6" s="39" t="s">
        <v>323</v>
      </c>
      <c r="AF6" s="39" t="s">
        <v>324</v>
      </c>
      <c r="AG6" s="39" t="s">
        <v>325</v>
      </c>
      <c r="AH6" s="39" t="s">
        <v>326</v>
      </c>
    </row>
    <row r="7" spans="1:34">
      <c r="B7" s="25"/>
      <c r="C7" s="25"/>
      <c r="D7" s="25"/>
      <c r="E7" s="25"/>
      <c r="F7" s="25"/>
      <c r="W7" s="41">
        <v>1</v>
      </c>
      <c r="X7" s="41">
        <v>-1</v>
      </c>
      <c r="Y7" s="41">
        <v>0</v>
      </c>
      <c r="Z7" s="41">
        <v>2</v>
      </c>
      <c r="AA7" s="41">
        <v>-1</v>
      </c>
      <c r="AB7" s="41">
        <v>0</v>
      </c>
      <c r="AC7" s="41">
        <v>1</v>
      </c>
      <c r="AD7" s="41">
        <v>0</v>
      </c>
      <c r="AE7" s="41">
        <v>-2</v>
      </c>
      <c r="AF7" s="41">
        <v>1</v>
      </c>
      <c r="AG7" s="41">
        <v>-1</v>
      </c>
      <c r="AH7" s="41">
        <v>2</v>
      </c>
    </row>
    <row r="8" spans="1:34">
      <c r="A8" t="s">
        <v>327</v>
      </c>
      <c r="B8" s="25"/>
      <c r="C8" s="25"/>
      <c r="D8" s="25"/>
      <c r="E8" s="25"/>
      <c r="F8" s="25"/>
    </row>
    <row r="9" spans="1:34" ht="15" thickBot="1">
      <c r="A9" t="s">
        <v>328</v>
      </c>
    </row>
    <row r="10" spans="1:34">
      <c r="M10" s="76" t="s">
        <v>329</v>
      </c>
      <c r="N10" s="77" t="s">
        <v>14</v>
      </c>
      <c r="O10" s="78" t="s">
        <v>15</v>
      </c>
      <c r="X10" s="35"/>
      <c r="Y10" s="36" t="s">
        <v>330</v>
      </c>
    </row>
    <row r="11" spans="1:34" ht="17.25">
      <c r="A11" t="s">
        <v>310</v>
      </c>
      <c r="B11" s="25"/>
      <c r="C11" s="25"/>
      <c r="D11" s="25"/>
      <c r="E11" s="25"/>
      <c r="F11" s="25"/>
      <c r="M11" s="79" t="s">
        <v>331</v>
      </c>
      <c r="N11" s="15">
        <v>0.1757</v>
      </c>
      <c r="O11" s="80">
        <v>0.98707</v>
      </c>
      <c r="X11" s="40">
        <v>1</v>
      </c>
      <c r="Y11" s="37">
        <f>(X11-N11)/O11</f>
        <v>0.83509781474464828</v>
      </c>
      <c r="Z11" t="s">
        <v>332</v>
      </c>
    </row>
    <row r="12" spans="1:34" ht="15">
      <c r="A12" t="s">
        <v>333</v>
      </c>
      <c r="B12" s="25"/>
      <c r="C12" s="25"/>
      <c r="D12" s="25"/>
      <c r="E12" s="25"/>
      <c r="F12" s="25"/>
      <c r="M12" s="79" t="s">
        <v>316</v>
      </c>
      <c r="N12" s="15">
        <v>-7.9299999999999995E-2</v>
      </c>
      <c r="O12" s="80">
        <v>0.90625999999999995</v>
      </c>
      <c r="X12" s="40">
        <v>-1</v>
      </c>
      <c r="Y12" s="37">
        <f t="shared" ref="Y12:Y22" si="0">(X12-N12)/O12</f>
        <v>-1.015933617284223</v>
      </c>
    </row>
    <row r="13" spans="1:34" ht="15">
      <c r="A13" t="s">
        <v>310</v>
      </c>
      <c r="B13" s="25"/>
      <c r="C13" s="25"/>
      <c r="D13" s="25"/>
      <c r="E13" s="25"/>
      <c r="F13" s="25"/>
      <c r="M13" s="79" t="s">
        <v>317</v>
      </c>
      <c r="N13" s="15">
        <v>0.1123</v>
      </c>
      <c r="O13" s="80">
        <v>0.86736999999999997</v>
      </c>
      <c r="P13" s="29"/>
      <c r="X13" s="40">
        <v>0</v>
      </c>
      <c r="Y13" s="37">
        <f t="shared" si="0"/>
        <v>-0.12947185168959038</v>
      </c>
    </row>
    <row r="14" spans="1:34" ht="15">
      <c r="A14" t="s">
        <v>334</v>
      </c>
      <c r="B14" s="25"/>
      <c r="C14" s="25"/>
      <c r="D14" s="25"/>
      <c r="E14" s="25"/>
      <c r="F14" s="25"/>
      <c r="M14" s="79" t="s">
        <v>318</v>
      </c>
      <c r="N14" s="15">
        <v>-1.83E-2</v>
      </c>
      <c r="O14" s="80">
        <v>0.67225999999999997</v>
      </c>
      <c r="X14" s="40">
        <v>2</v>
      </c>
      <c r="Y14" s="37">
        <f t="shared" si="0"/>
        <v>3.002261029958647</v>
      </c>
    </row>
    <row r="15" spans="1:34" ht="17.25">
      <c r="A15" t="s">
        <v>335</v>
      </c>
      <c r="B15" s="25"/>
      <c r="C15" s="25"/>
      <c r="D15" s="25"/>
      <c r="E15" s="25"/>
      <c r="F15" s="25"/>
      <c r="M15" s="79" t="s">
        <v>319</v>
      </c>
      <c r="N15" s="15">
        <v>-0.2702</v>
      </c>
      <c r="O15" s="80">
        <v>1.0097799999999999</v>
      </c>
      <c r="X15" s="40">
        <v>-1</v>
      </c>
      <c r="Y15" s="37">
        <f t="shared" si="0"/>
        <v>-0.72273168412921629</v>
      </c>
    </row>
    <row r="16" spans="1:34" ht="15">
      <c r="A16" t="s">
        <v>336</v>
      </c>
      <c r="B16" s="25"/>
      <c r="C16" s="25"/>
      <c r="D16" s="25"/>
      <c r="E16" s="25"/>
      <c r="F16" s="25"/>
      <c r="M16" s="79" t="s">
        <v>320</v>
      </c>
      <c r="N16" s="15">
        <v>-6.7799999999999999E-2</v>
      </c>
      <c r="O16" s="80">
        <v>0.91093000000000002</v>
      </c>
      <c r="X16" s="40">
        <v>0</v>
      </c>
      <c r="Y16" s="37">
        <f t="shared" si="0"/>
        <v>7.442942926459771E-2</v>
      </c>
    </row>
    <row r="17" spans="1:35" ht="15">
      <c r="B17" s="25"/>
      <c r="C17" s="25"/>
      <c r="D17" s="25"/>
      <c r="E17" s="25"/>
      <c r="F17" s="25"/>
      <c r="M17" s="79" t="s">
        <v>321</v>
      </c>
      <c r="N17" s="15">
        <v>-9.5999999999999992E-3</v>
      </c>
      <c r="O17" s="80">
        <v>0.70230000000000004</v>
      </c>
      <c r="X17" s="40">
        <v>1</v>
      </c>
      <c r="Y17" s="37">
        <f t="shared" si="0"/>
        <v>1.4375622953153924</v>
      </c>
    </row>
    <row r="18" spans="1:35" ht="15">
      <c r="A18" t="s">
        <v>327</v>
      </c>
      <c r="B18" s="25"/>
      <c r="C18" s="25"/>
      <c r="D18" s="25"/>
      <c r="E18" s="25"/>
      <c r="F18" s="25"/>
      <c r="M18" s="79" t="s">
        <v>322</v>
      </c>
      <c r="N18" s="15">
        <v>0.2165</v>
      </c>
      <c r="O18" s="80">
        <v>0.82948999999999995</v>
      </c>
      <c r="X18" s="40">
        <v>0</v>
      </c>
      <c r="Y18" s="37">
        <f>(X18-N18)/O18</f>
        <v>-0.26100374929173348</v>
      </c>
    </row>
    <row r="19" spans="1:35" ht="15">
      <c r="M19" s="79" t="s">
        <v>323</v>
      </c>
      <c r="N19" s="15">
        <v>-0.1721</v>
      </c>
      <c r="O19" s="80">
        <v>0.74146000000000001</v>
      </c>
      <c r="X19" s="40">
        <v>-2</v>
      </c>
      <c r="Y19" s="37">
        <f>(X19-N19)/O19</f>
        <v>-2.4652712216437838</v>
      </c>
    </row>
    <row r="20" spans="1:35" ht="15.75" thickBot="1">
      <c r="M20" s="81" t="s">
        <v>324</v>
      </c>
      <c r="N20" s="82">
        <v>0.33960000000000001</v>
      </c>
      <c r="O20" s="83">
        <v>0.88915</v>
      </c>
      <c r="X20" s="40">
        <v>1</v>
      </c>
      <c r="Y20" s="37">
        <f t="shared" si="0"/>
        <v>0.74273182252713266</v>
      </c>
    </row>
    <row r="21" spans="1:35" ht="15">
      <c r="X21" s="40">
        <v>-1</v>
      </c>
      <c r="Y21" s="37" t="e">
        <f t="shared" si="0"/>
        <v>#DIV/0!</v>
      </c>
    </row>
    <row r="22" spans="1:35" ht="15">
      <c r="M22" s="2"/>
      <c r="N22" s="28"/>
      <c r="X22" s="40">
        <v>2</v>
      </c>
      <c r="Y22" s="37" t="e">
        <f t="shared" si="0"/>
        <v>#DIV/0!</v>
      </c>
    </row>
    <row r="23" spans="1:35">
      <c r="Y23" s="15"/>
    </row>
    <row r="24" spans="1:35">
      <c r="M24" s="2"/>
      <c r="N24" s="28"/>
      <c r="Y24" s="15"/>
    </row>
    <row r="25" spans="1:35">
      <c r="Y25" s="15"/>
    </row>
    <row r="26" spans="1:35">
      <c r="A26" s="25" t="s">
        <v>337</v>
      </c>
      <c r="B26" s="25"/>
      <c r="C26" s="25"/>
      <c r="D26" s="25"/>
      <c r="E26" s="25"/>
      <c r="F26" s="25"/>
      <c r="G26" s="25"/>
      <c r="H26" s="25"/>
      <c r="I26" s="25"/>
      <c r="J26" s="25"/>
      <c r="Y26" s="15"/>
    </row>
    <row r="27" spans="1:35">
      <c r="A27" s="25" t="s">
        <v>338</v>
      </c>
      <c r="B27" s="25"/>
      <c r="C27" s="25"/>
      <c r="D27" s="25"/>
      <c r="E27" s="25"/>
      <c r="F27" s="25"/>
      <c r="G27" s="25"/>
      <c r="H27" s="25"/>
      <c r="I27" s="25"/>
      <c r="J27" s="25"/>
      <c r="Y27" s="15"/>
    </row>
    <row r="28" spans="1:35">
      <c r="A28" s="25" t="s">
        <v>337</v>
      </c>
      <c r="B28" s="25"/>
      <c r="C28" s="25"/>
      <c r="D28" s="25"/>
      <c r="E28" s="25"/>
      <c r="F28" s="25"/>
      <c r="G28" s="25"/>
      <c r="H28" s="25"/>
      <c r="I28" s="25"/>
      <c r="J28" s="25"/>
      <c r="Y28" s="15"/>
    </row>
    <row r="29" spans="1:35">
      <c r="A29" s="25" t="s">
        <v>339</v>
      </c>
      <c r="B29" s="25"/>
      <c r="C29" s="25"/>
      <c r="D29" s="25"/>
      <c r="E29" s="25"/>
      <c r="F29" s="25"/>
      <c r="G29" s="25"/>
      <c r="H29" s="25"/>
      <c r="I29" s="25"/>
      <c r="J29" s="25"/>
      <c r="Y29" s="15"/>
    </row>
    <row r="30" spans="1:35" ht="15" thickBot="1">
      <c r="A30" s="25" t="s">
        <v>340</v>
      </c>
      <c r="B30" s="25"/>
      <c r="C30" s="25"/>
      <c r="D30" s="25"/>
      <c r="E30" s="25"/>
      <c r="F30" s="25"/>
      <c r="G30" s="25"/>
      <c r="H30" s="25"/>
      <c r="I30" s="25"/>
      <c r="J30" s="25"/>
      <c r="Y30" s="15"/>
    </row>
    <row r="31" spans="1:35">
      <c r="A31" s="25" t="s">
        <v>341</v>
      </c>
      <c r="B31" s="25"/>
      <c r="C31" s="25"/>
      <c r="D31" s="25"/>
      <c r="E31" s="25"/>
      <c r="F31" s="25"/>
      <c r="G31" s="25"/>
      <c r="H31" s="25"/>
      <c r="I31" s="25"/>
      <c r="J31" s="25"/>
      <c r="K31" s="18"/>
      <c r="L31" s="19"/>
      <c r="M31" s="19" t="s">
        <v>172</v>
      </c>
      <c r="N31" s="19" t="s">
        <v>173</v>
      </c>
      <c r="O31" s="19" t="s">
        <v>174</v>
      </c>
      <c r="P31" s="19" t="s">
        <v>175</v>
      </c>
      <c r="Q31" s="19" t="s">
        <v>176</v>
      </c>
      <c r="R31" s="19" t="s">
        <v>177</v>
      </c>
      <c r="S31" s="19" t="s">
        <v>178</v>
      </c>
      <c r="T31" s="19" t="s">
        <v>179</v>
      </c>
      <c r="U31" s="19" t="s">
        <v>180</v>
      </c>
      <c r="V31" s="20" t="s">
        <v>181</v>
      </c>
      <c r="Y31" s="37"/>
      <c r="Z31" t="s">
        <v>172</v>
      </c>
      <c r="AA31" t="s">
        <v>173</v>
      </c>
      <c r="AB31" t="s">
        <v>174</v>
      </c>
      <c r="AC31" t="s">
        <v>175</v>
      </c>
      <c r="AD31" t="s">
        <v>176</v>
      </c>
      <c r="AE31" t="s">
        <v>177</v>
      </c>
      <c r="AF31" t="s">
        <v>178</v>
      </c>
      <c r="AG31" t="s">
        <v>179</v>
      </c>
      <c r="AH31" t="s">
        <v>180</v>
      </c>
      <c r="AI31" t="s">
        <v>181</v>
      </c>
    </row>
    <row r="32" spans="1:35">
      <c r="A32" s="25" t="s">
        <v>342</v>
      </c>
      <c r="B32" s="25"/>
      <c r="C32" s="25"/>
      <c r="D32" s="25"/>
      <c r="E32" s="25"/>
      <c r="F32" s="25"/>
      <c r="G32" s="25"/>
      <c r="H32" s="25"/>
      <c r="I32" s="25"/>
      <c r="J32" s="25"/>
      <c r="K32" s="21"/>
      <c r="M32">
        <v>1</v>
      </c>
      <c r="N32">
        <v>2</v>
      </c>
      <c r="O32">
        <v>3</v>
      </c>
      <c r="P32">
        <v>4</v>
      </c>
      <c r="Q32">
        <v>5</v>
      </c>
      <c r="R32">
        <v>6</v>
      </c>
      <c r="S32">
        <v>7</v>
      </c>
      <c r="T32">
        <v>8</v>
      </c>
      <c r="U32">
        <v>9</v>
      </c>
      <c r="V32" s="22">
        <v>10</v>
      </c>
      <c r="Y32" s="38" t="s">
        <v>330</v>
      </c>
      <c r="Z32" s="33" t="s">
        <v>343</v>
      </c>
    </row>
    <row r="33" spans="1:38" ht="15">
      <c r="A33" s="25" t="s">
        <v>344</v>
      </c>
      <c r="B33" s="25"/>
      <c r="C33" s="25"/>
      <c r="D33" s="25"/>
      <c r="E33" s="25"/>
      <c r="F33" s="25"/>
      <c r="G33" s="25"/>
      <c r="H33" s="25"/>
      <c r="I33" s="25"/>
      <c r="J33" s="25"/>
      <c r="K33" s="21" t="s">
        <v>206</v>
      </c>
      <c r="L33" t="s">
        <v>92</v>
      </c>
      <c r="M33" s="7">
        <v>-0.12609999999999999</v>
      </c>
      <c r="N33" s="7">
        <v>-0.40510000000000002</v>
      </c>
      <c r="O33" s="7">
        <v>1.02234</v>
      </c>
      <c r="P33" s="7">
        <v>0.58465</v>
      </c>
      <c r="Q33" s="7">
        <v>-1.2500199999999999</v>
      </c>
      <c r="R33" s="7">
        <v>0.82372999999999996</v>
      </c>
      <c r="S33" s="7">
        <v>-0.62919999999999998</v>
      </c>
      <c r="T33" s="7">
        <v>-1.1851400000000001</v>
      </c>
      <c r="U33" s="7">
        <v>-0.80391999999999997</v>
      </c>
      <c r="V33" s="84">
        <v>0.20713999999999999</v>
      </c>
      <c r="Y33" s="37">
        <v>0.83509781474464828</v>
      </c>
      <c r="Z33" s="31">
        <f>($Y33-M33)^2</f>
        <v>0.92390123906988719</v>
      </c>
      <c r="AA33" s="31">
        <f>($Y33-N33)^2</f>
        <v>1.5380906196974014</v>
      </c>
      <c r="AB33" s="31">
        <f t="shared" ref="AB33:AI44" si="1">($Y33-O33)^2</f>
        <v>3.505963593919946E-2</v>
      </c>
      <c r="AC33" s="31">
        <f t="shared" si="1"/>
        <v>6.272410791036967E-2</v>
      </c>
      <c r="AD33" s="31">
        <f t="shared" si="1"/>
        <v>4.3477163013654962</v>
      </c>
      <c r="AE33" s="31">
        <f t="shared" si="1"/>
        <v>1.2922721206864372E-4</v>
      </c>
      <c r="AF33" s="31">
        <f t="shared" si="1"/>
        <v>2.1441680902659526</v>
      </c>
      <c r="AG33" s="31">
        <f t="shared" si="1"/>
        <v>4.0813608281242324</v>
      </c>
      <c r="AH33" s="31">
        <f t="shared" si="1"/>
        <v>2.6863793970503216</v>
      </c>
      <c r="AI33" s="31">
        <f t="shared" si="1"/>
        <v>0.39433101709887403</v>
      </c>
      <c r="AJ33" s="31"/>
      <c r="AK33" s="31"/>
      <c r="AL33" s="31"/>
    </row>
    <row r="34" spans="1:38" ht="15">
      <c r="A34" s="25" t="s">
        <v>345</v>
      </c>
      <c r="B34" s="25"/>
      <c r="C34" s="25"/>
      <c r="D34" s="25"/>
      <c r="E34" s="25"/>
      <c r="F34" s="25"/>
      <c r="G34" s="25"/>
      <c r="H34" s="25"/>
      <c r="I34" s="25"/>
      <c r="J34" s="25"/>
      <c r="K34" s="21" t="s">
        <v>215</v>
      </c>
      <c r="L34" t="s">
        <v>93</v>
      </c>
      <c r="M34" s="7">
        <v>-0.19506000000000001</v>
      </c>
      <c r="N34" s="7">
        <v>-0.46396999999999999</v>
      </c>
      <c r="O34" s="7">
        <v>-1.0748200000000001</v>
      </c>
      <c r="P34" s="7">
        <v>0.14555999999999999</v>
      </c>
      <c r="Q34" s="7">
        <v>1.0680099999999999</v>
      </c>
      <c r="R34" s="7">
        <v>-0.42514000000000002</v>
      </c>
      <c r="S34" s="7">
        <v>0.37386000000000003</v>
      </c>
      <c r="T34" s="7">
        <v>1.31134</v>
      </c>
      <c r="U34" s="7">
        <v>0.51100000000000001</v>
      </c>
      <c r="V34" s="84">
        <v>-0.28626000000000001</v>
      </c>
      <c r="Y34" s="37">
        <v>-1.015933617284223</v>
      </c>
      <c r="Z34" s="31">
        <f t="shared" ref="Z34:AA44" si="2">($Y34-M34)^2</f>
        <v>0.67383349555328509</v>
      </c>
      <c r="AA34" s="31">
        <f t="shared" si="2"/>
        <v>0.30466383480548426</v>
      </c>
      <c r="AB34" s="31">
        <f t="shared" si="1"/>
        <v>3.4676060693489678E-3</v>
      </c>
      <c r="AC34" s="31">
        <f t="shared" si="1"/>
        <v>1.349067422991989</v>
      </c>
      <c r="AD34" s="31">
        <f t="shared" si="1"/>
        <v>4.3428210000196517</v>
      </c>
      <c r="AE34" s="31">
        <f t="shared" si="1"/>
        <v>0.34903709822377693</v>
      </c>
      <c r="AF34" s="31">
        <f t="shared" si="1"/>
        <v>1.9315262986439656</v>
      </c>
      <c r="AG34" s="31">
        <f t="shared" si="1"/>
        <v>5.4162024897071914</v>
      </c>
      <c r="AH34" s="31">
        <f t="shared" si="1"/>
        <v>2.3315262715926819</v>
      </c>
      <c r="AI34" s="31">
        <f t="shared" si="1"/>
        <v>0.53242358776064291</v>
      </c>
      <c r="AJ34" s="31"/>
      <c r="AK34" s="31"/>
      <c r="AL34" s="31"/>
    </row>
    <row r="35" spans="1:38" ht="15">
      <c r="A35" s="25" t="s">
        <v>346</v>
      </c>
      <c r="B35" s="25"/>
      <c r="C35" s="25"/>
      <c r="D35" s="25"/>
      <c r="E35" s="25"/>
      <c r="F35" s="25"/>
      <c r="G35" s="25"/>
      <c r="H35" s="25"/>
      <c r="I35" s="25"/>
      <c r="J35" s="25"/>
      <c r="K35" s="21" t="s">
        <v>207</v>
      </c>
      <c r="L35" t="s">
        <v>94</v>
      </c>
      <c r="M35" s="7">
        <v>0.85224</v>
      </c>
      <c r="N35" s="7">
        <v>-0.53113999999999995</v>
      </c>
      <c r="O35" s="7">
        <v>-0.78602000000000005</v>
      </c>
      <c r="P35" s="7">
        <v>-0.72724</v>
      </c>
      <c r="Q35" s="7">
        <v>1.07565</v>
      </c>
      <c r="R35" s="7">
        <v>-0.51893999999999996</v>
      </c>
      <c r="S35" s="7">
        <v>-0.60455000000000003</v>
      </c>
      <c r="T35" s="7">
        <v>0.61219000000000001</v>
      </c>
      <c r="U35" s="7">
        <v>0.99073999999999995</v>
      </c>
      <c r="V35" s="84">
        <v>-0.4556</v>
      </c>
      <c r="Y35" s="37">
        <v>-0.12947185168959038</v>
      </c>
      <c r="Z35" s="31">
        <f t="shared" si="2"/>
        <v>0.96375815974780432</v>
      </c>
      <c r="AA35" s="31">
        <f t="shared" si="2"/>
        <v>0.16133730136711316</v>
      </c>
      <c r="AB35" s="31">
        <f t="shared" si="1"/>
        <v>0.43105547104982767</v>
      </c>
      <c r="AC35" s="31">
        <f t="shared" si="1"/>
        <v>0.35732675913445583</v>
      </c>
      <c r="AD35" s="31">
        <f t="shared" si="1"/>
        <v>1.452318677419747</v>
      </c>
      <c r="AE35" s="31">
        <f t="shared" si="1"/>
        <v>0.15168543854833916</v>
      </c>
      <c r="AF35" s="31">
        <f t="shared" si="1"/>
        <v>0.22569924700204755</v>
      </c>
      <c r="AG35" s="31">
        <f t="shared" si="1"/>
        <v>0.550062302251632</v>
      </c>
      <c r="AH35" s="31">
        <f t="shared" si="1"/>
        <v>1.2548745926658205</v>
      </c>
      <c r="AI35" s="31">
        <f t="shared" si="1"/>
        <v>0.10635956912037652</v>
      </c>
      <c r="AJ35" s="31"/>
      <c r="AK35" s="31"/>
      <c r="AL35" s="31"/>
    </row>
    <row r="36" spans="1:38" ht="16.5">
      <c r="A36" s="25" t="s">
        <v>347</v>
      </c>
      <c r="B36" s="25"/>
      <c r="C36" s="25"/>
      <c r="D36" s="25"/>
      <c r="E36" s="25"/>
      <c r="F36" s="25"/>
      <c r="G36" s="298"/>
      <c r="H36" s="25"/>
      <c r="I36" s="25"/>
      <c r="J36" s="25"/>
      <c r="K36" s="21" t="s">
        <v>216</v>
      </c>
      <c r="L36" t="s">
        <v>95</v>
      </c>
      <c r="M36" s="7">
        <v>0.62878000000000001</v>
      </c>
      <c r="N36" s="7">
        <v>0.34974</v>
      </c>
      <c r="O36" s="7">
        <v>2.367E-2</v>
      </c>
      <c r="P36" s="7">
        <v>-1.1360399999999999</v>
      </c>
      <c r="Q36" s="7">
        <v>1.18021</v>
      </c>
      <c r="R36" s="7">
        <v>-0.62365000000000004</v>
      </c>
      <c r="S36" s="7">
        <v>0.62733000000000005</v>
      </c>
      <c r="T36" s="7">
        <v>-0.48681000000000002</v>
      </c>
      <c r="U36" s="7">
        <v>3.175E-2</v>
      </c>
      <c r="V36" s="84">
        <v>1.3977299999999999</v>
      </c>
      <c r="Y36" s="37">
        <v>3.002261029958647</v>
      </c>
      <c r="Z36" s="31">
        <f t="shared" si="2"/>
        <v>5.6334121995735602</v>
      </c>
      <c r="AA36" s="31">
        <f t="shared" si="2"/>
        <v>7.0358678143728808</v>
      </c>
      <c r="AB36" s="31">
        <f t="shared" si="1"/>
        <v>8.8720045237501122</v>
      </c>
      <c r="AC36" s="31">
        <f t="shared" si="1"/>
        <v>17.125535414556801</v>
      </c>
      <c r="AD36" s="31">
        <f t="shared" si="1"/>
        <v>3.3198699557733664</v>
      </c>
      <c r="AE36" s="31">
        <f t="shared" si="1"/>
        <v>13.147230797175776</v>
      </c>
      <c r="AF36" s="31">
        <f t="shared" si="1"/>
        <v>5.6402973970604391</v>
      </c>
      <c r="AG36" s="31">
        <f t="shared" si="1"/>
        <v>12.173616652096694</v>
      </c>
      <c r="AH36" s="31">
        <f t="shared" si="1"/>
        <v>8.8239357791059803</v>
      </c>
      <c r="AI36" s="31">
        <f t="shared" si="1"/>
        <v>2.5745198261001567</v>
      </c>
      <c r="AJ36" s="31"/>
      <c r="AK36" s="31"/>
      <c r="AL36" s="31"/>
    </row>
    <row r="37" spans="1:38" ht="15">
      <c r="A37" s="25" t="s">
        <v>348</v>
      </c>
      <c r="B37" s="25"/>
      <c r="C37" s="25"/>
      <c r="D37" s="25"/>
      <c r="E37" s="25"/>
      <c r="F37" s="25"/>
      <c r="G37" s="25"/>
      <c r="H37" s="25"/>
      <c r="I37" s="25"/>
      <c r="J37" s="25"/>
      <c r="K37" s="21" t="s">
        <v>208</v>
      </c>
      <c r="L37" t="s">
        <v>96</v>
      </c>
      <c r="M37" s="7">
        <v>-0.95869000000000004</v>
      </c>
      <c r="N37" s="7">
        <v>0.62692000000000003</v>
      </c>
      <c r="O37" s="7">
        <v>-0.88468999999999998</v>
      </c>
      <c r="P37" s="7">
        <v>1.1120000000000001</v>
      </c>
      <c r="Q37" s="7">
        <v>-0.14726</v>
      </c>
      <c r="R37" s="7">
        <v>-0.33019999999999999</v>
      </c>
      <c r="S37" s="7">
        <v>1.1871799999999999</v>
      </c>
      <c r="T37" s="7">
        <v>1.28464</v>
      </c>
      <c r="U37" s="7">
        <v>-0.15409999999999999</v>
      </c>
      <c r="V37" s="84">
        <v>-4.8710000000000003E-2</v>
      </c>
      <c r="Y37" s="37">
        <v>-0.72273168412921629</v>
      </c>
      <c r="Z37" s="31">
        <f t="shared" si="2"/>
        <v>5.567632682857656E-2</v>
      </c>
      <c r="AA37" s="31">
        <f t="shared" si="2"/>
        <v>1.8215596684728299</v>
      </c>
      <c r="AB37" s="31">
        <f t="shared" si="1"/>
        <v>2.6230496079700544E-2</v>
      </c>
      <c r="AC37" s="31">
        <f t="shared" si="1"/>
        <v>3.366240352747631</v>
      </c>
      <c r="AD37" s="31">
        <f t="shared" si="1"/>
        <v>0.33116765923451641</v>
      </c>
      <c r="AE37" s="31">
        <f t="shared" si="1"/>
        <v>0.15408112304531885</v>
      </c>
      <c r="AF37" s="31">
        <f t="shared" si="1"/>
        <v>3.6477626411732986</v>
      </c>
      <c r="AG37" s="31">
        <f t="shared" si="1"/>
        <v>4.0295410782437662</v>
      </c>
      <c r="AH37" s="31">
        <f t="shared" si="1"/>
        <v>0.32334199219562881</v>
      </c>
      <c r="AI37" s="31">
        <f t="shared" si="1"/>
        <v>0.45430523067638495</v>
      </c>
      <c r="AJ37" s="31"/>
      <c r="AK37" s="31"/>
      <c r="AL37" s="31"/>
    </row>
    <row r="38" spans="1:38" ht="15">
      <c r="A38" s="25" t="s">
        <v>349</v>
      </c>
      <c r="B38" s="25"/>
      <c r="C38" s="25"/>
      <c r="D38" s="25"/>
      <c r="E38" s="25"/>
      <c r="F38" s="25"/>
      <c r="G38" s="25"/>
      <c r="H38" s="25"/>
      <c r="I38" s="25"/>
      <c r="J38" s="25"/>
      <c r="K38" s="21" t="s">
        <v>242</v>
      </c>
      <c r="L38" t="s">
        <v>97</v>
      </c>
      <c r="M38" s="7">
        <v>0.77122000000000002</v>
      </c>
      <c r="N38" s="7">
        <v>-0.23771</v>
      </c>
      <c r="O38" s="7">
        <v>-0.31253999999999998</v>
      </c>
      <c r="P38" s="7">
        <v>-0.44362000000000001</v>
      </c>
      <c r="Q38" s="7">
        <v>0.59270999999999996</v>
      </c>
      <c r="R38" s="7">
        <v>-0.66739999999999999</v>
      </c>
      <c r="S38" s="7">
        <v>-0.19717000000000001</v>
      </c>
      <c r="T38" s="7">
        <v>0.5111</v>
      </c>
      <c r="U38" s="7">
        <v>0.79781999999999997</v>
      </c>
      <c r="V38" s="84">
        <v>-0.90837999999999997</v>
      </c>
      <c r="Y38" s="37">
        <v>7.442942926459771E-2</v>
      </c>
      <c r="Z38" s="31">
        <f t="shared" si="2"/>
        <v>0.48551709946576765</v>
      </c>
      <c r="AA38" s="31">
        <f t="shared" si="2"/>
        <v>9.7431023301628797E-2</v>
      </c>
      <c r="AB38" s="31">
        <f t="shared" si="1"/>
        <v>0.14974533918536848</v>
      </c>
      <c r="AC38" s="31">
        <f t="shared" si="1"/>
        <v>0.26837521116137547</v>
      </c>
      <c r="AD38" s="31">
        <f t="shared" si="1"/>
        <v>0.26861475000181428</v>
      </c>
      <c r="AE38" s="31">
        <f t="shared" si="1"/>
        <v>0.55031090212303879</v>
      </c>
      <c r="AF38" s="31">
        <f t="shared" si="1"/>
        <v>7.3766249976855228E-2</v>
      </c>
      <c r="AG38" s="31">
        <f t="shared" si="1"/>
        <v>0.19068118734638195</v>
      </c>
      <c r="AH38" s="31">
        <f t="shared" si="1"/>
        <v>0.52329391782889101</v>
      </c>
      <c r="AI38" s="31">
        <f t="shared" si="1"/>
        <v>0.96591437425140425</v>
      </c>
      <c r="AJ38" s="31"/>
      <c r="AK38" s="31"/>
      <c r="AL38" s="31"/>
    </row>
    <row r="39" spans="1:38" ht="15">
      <c r="A39" s="25" t="s">
        <v>350</v>
      </c>
      <c r="B39" s="25"/>
      <c r="C39" s="25"/>
      <c r="D39" s="25"/>
      <c r="E39" s="25"/>
      <c r="F39" s="25"/>
      <c r="G39" s="25"/>
      <c r="H39" s="25"/>
      <c r="I39" s="25"/>
      <c r="J39" s="25"/>
      <c r="K39" s="21" t="s">
        <v>209</v>
      </c>
      <c r="L39" t="s">
        <v>98</v>
      </c>
      <c r="M39" s="7">
        <v>-0.82889999999999997</v>
      </c>
      <c r="N39" s="7">
        <v>1.34097</v>
      </c>
      <c r="O39" s="7">
        <v>-0.85389999999999999</v>
      </c>
      <c r="P39" s="7">
        <v>6.4869999999999997E-2</v>
      </c>
      <c r="Q39" s="7">
        <v>7.3270000000000002E-2</v>
      </c>
      <c r="R39" s="7">
        <v>4.4569999999999999E-2</v>
      </c>
      <c r="S39" s="7">
        <v>4.9889999999999997E-2</v>
      </c>
      <c r="T39" s="7">
        <v>0.86504999999999999</v>
      </c>
      <c r="U39" s="7">
        <v>0.46422999999999998</v>
      </c>
      <c r="V39" s="84">
        <v>-0.39129999999999998</v>
      </c>
      <c r="Y39" s="37">
        <v>1.4375622953153924</v>
      </c>
      <c r="Z39" s="31">
        <f t="shared" si="2"/>
        <v>5.1368513360863171</v>
      </c>
      <c r="AA39" s="31">
        <f t="shared" si="2"/>
        <v>9.3300715142959709E-3</v>
      </c>
      <c r="AB39" s="31">
        <f t="shared" si="1"/>
        <v>5.2507994508520861</v>
      </c>
      <c r="AC39" s="31">
        <f t="shared" si="1"/>
        <v>1.8842841376182404</v>
      </c>
      <c r="AD39" s="31">
        <f t="shared" si="1"/>
        <v>1.8612934670569419</v>
      </c>
      <c r="AE39" s="31">
        <f t="shared" si="1"/>
        <v>1.9404275348080453</v>
      </c>
      <c r="AF39" s="31">
        <f t="shared" si="1"/>
        <v>1.9256343991858895</v>
      </c>
      <c r="AG39" s="31">
        <f t="shared" si="1"/>
        <v>0.32777032828729907</v>
      </c>
      <c r="AH39" s="31">
        <f t="shared" si="1"/>
        <v>0.94737575710393029</v>
      </c>
      <c r="AI39" s="31">
        <f t="shared" si="1"/>
        <v>3.3447372952262855</v>
      </c>
      <c r="AJ39" s="31"/>
      <c r="AK39" s="31"/>
      <c r="AL39" s="31"/>
    </row>
    <row r="40" spans="1:38" ht="15">
      <c r="A40" s="25" t="s">
        <v>351</v>
      </c>
      <c r="B40" s="25"/>
      <c r="C40" s="25"/>
      <c r="D40" s="25"/>
      <c r="E40" s="25"/>
      <c r="F40" s="25"/>
      <c r="G40" s="25"/>
      <c r="H40" s="25"/>
      <c r="I40" s="25"/>
      <c r="J40" s="25"/>
      <c r="K40" s="21" t="s">
        <v>217</v>
      </c>
      <c r="L40" t="s">
        <v>99</v>
      </c>
      <c r="M40" s="7">
        <v>-0.57842000000000005</v>
      </c>
      <c r="N40" s="7">
        <v>0.64731000000000005</v>
      </c>
      <c r="O40" s="7">
        <v>-0.60104000000000002</v>
      </c>
      <c r="P40" s="7">
        <v>0.51283999999999996</v>
      </c>
      <c r="Q40" s="7">
        <v>-0.68959000000000004</v>
      </c>
      <c r="R40" s="10">
        <v>0.60399000000000003</v>
      </c>
      <c r="S40" s="7">
        <v>-1.59188</v>
      </c>
      <c r="T40" s="7">
        <v>0.65871000000000002</v>
      </c>
      <c r="U40" s="7">
        <v>0.60799999999999998</v>
      </c>
      <c r="V40" s="84">
        <v>-1.36486</v>
      </c>
      <c r="Y40" s="37">
        <v>-0.26100374929173348</v>
      </c>
      <c r="Z40" s="31">
        <f t="shared" si="2"/>
        <v>0.10075307621369313</v>
      </c>
      <c r="AA40" s="31">
        <f t="shared" si="2"/>
        <v>0.82503386715240601</v>
      </c>
      <c r="AB40" s="31">
        <f t="shared" si="1"/>
        <v>0.1156246517957351</v>
      </c>
      <c r="AC40" s="31">
        <f t="shared" si="1"/>
        <v>0.59883414831788706</v>
      </c>
      <c r="AD40" s="31">
        <f t="shared" si="1"/>
        <v>0.18368617429616912</v>
      </c>
      <c r="AE40" s="31">
        <f t="shared" si="1"/>
        <v>0.74821418631377024</v>
      </c>
      <c r="AF40" s="31">
        <f t="shared" si="1"/>
        <v>1.7712315946992927</v>
      </c>
      <c r="AG40" s="31">
        <f t="shared" si="1"/>
        <v>0.84587338063625772</v>
      </c>
      <c r="AH40" s="31">
        <f t="shared" si="1"/>
        <v>0.75516751628309009</v>
      </c>
      <c r="AI40" s="31">
        <f t="shared" si="1"/>
        <v>1.2184986222277114</v>
      </c>
      <c r="AJ40" s="31"/>
      <c r="AK40" s="31"/>
      <c r="AL40" s="31"/>
    </row>
    <row r="41" spans="1:38" ht="15">
      <c r="A41" s="25" t="s">
        <v>348</v>
      </c>
      <c r="B41" s="25"/>
      <c r="C41" s="25"/>
      <c r="D41" s="25"/>
      <c r="E41" s="25"/>
      <c r="F41" s="25"/>
      <c r="G41" s="25"/>
      <c r="H41" s="25"/>
      <c r="I41" s="25"/>
      <c r="J41" s="25"/>
      <c r="K41" s="21" t="s">
        <v>236</v>
      </c>
      <c r="L41" t="s">
        <v>100</v>
      </c>
      <c r="M41" s="7">
        <v>-0.36864999999999998</v>
      </c>
      <c r="N41" s="7">
        <v>0.16667000000000001</v>
      </c>
      <c r="O41" s="7">
        <v>-0.22570999999999999</v>
      </c>
      <c r="P41" s="7">
        <v>0.94960999999999995</v>
      </c>
      <c r="Q41" s="7">
        <v>0.12970999999999999</v>
      </c>
      <c r="R41" s="7">
        <v>-0.72424999999999995</v>
      </c>
      <c r="S41" s="7">
        <v>2.0912500000000001</v>
      </c>
      <c r="T41" s="7">
        <v>0.52634999999999998</v>
      </c>
      <c r="U41" s="7">
        <v>-0.34210000000000002</v>
      </c>
      <c r="V41" s="84">
        <v>-8.7120000000000003E-2</v>
      </c>
      <c r="Y41" s="37">
        <v>-2.4652712216437838</v>
      </c>
      <c r="Z41" s="31">
        <f t="shared" si="2"/>
        <v>4.3958205470470713</v>
      </c>
      <c r="AA41" s="31">
        <f t="shared" si="2"/>
        <v>6.9271145941877723</v>
      </c>
      <c r="AB41" s="31">
        <f t="shared" si="1"/>
        <v>5.0156344654905975</v>
      </c>
      <c r="AC41" s="31">
        <f t="shared" si="1"/>
        <v>11.661413757935341</v>
      </c>
      <c r="AD41" s="31">
        <f t="shared" si="1"/>
        <v>6.7339275406838652</v>
      </c>
      <c r="AE41" s="31">
        <f t="shared" si="1"/>
        <v>3.031154894214013</v>
      </c>
      <c r="AF41" s="31">
        <f t="shared" si="1"/>
        <v>20.761885643290164</v>
      </c>
      <c r="AG41" s="31">
        <f t="shared" si="1"/>
        <v>8.9497975337894449</v>
      </c>
      <c r="AH41" s="31">
        <f t="shared" si="1"/>
        <v>4.5078560364163582</v>
      </c>
      <c r="AI41" s="31">
        <f t="shared" si="1"/>
        <v>5.655603233005821</v>
      </c>
      <c r="AJ41" s="31"/>
      <c r="AK41" s="31"/>
      <c r="AL41" s="31"/>
    </row>
    <row r="42" spans="1:38" ht="15">
      <c r="A42" s="25" t="s">
        <v>352</v>
      </c>
      <c r="B42" s="25"/>
      <c r="C42" s="25"/>
      <c r="D42" s="25"/>
      <c r="E42" s="25"/>
      <c r="F42" s="25"/>
      <c r="G42" s="25"/>
      <c r="H42" s="25"/>
      <c r="I42" s="25"/>
      <c r="J42" s="25"/>
      <c r="K42" s="21" t="s">
        <v>224</v>
      </c>
      <c r="L42" t="s">
        <v>101</v>
      </c>
      <c r="M42" s="7">
        <v>1.02773</v>
      </c>
      <c r="N42" s="7">
        <v>-1.3314999999999999</v>
      </c>
      <c r="O42" s="7">
        <v>0.65958000000000006</v>
      </c>
      <c r="P42" s="7">
        <v>-0.99743000000000004</v>
      </c>
      <c r="Q42" s="7">
        <v>-7.4120000000000005E-2</v>
      </c>
      <c r="R42" s="7">
        <v>0.35569000000000001</v>
      </c>
      <c r="S42" s="7">
        <v>-1.5071300000000001</v>
      </c>
      <c r="T42" s="7">
        <v>-0.70520000000000005</v>
      </c>
      <c r="U42" s="7">
        <v>0.35966999999999999</v>
      </c>
      <c r="V42" s="84">
        <v>-0.22933000000000001</v>
      </c>
      <c r="Y42" s="37">
        <v>0.74273182252713266</v>
      </c>
      <c r="Z42" s="31">
        <f t="shared" si="2"/>
        <v>8.1223961162856004E-2</v>
      </c>
      <c r="AA42" s="31">
        <f t="shared" si="2"/>
        <v>4.3024376535842306</v>
      </c>
      <c r="AB42" s="31">
        <f t="shared" si="1"/>
        <v>6.9142255895837572E-3</v>
      </c>
      <c r="AC42" s="31">
        <f t="shared" si="1"/>
        <v>3.028163168580952</v>
      </c>
      <c r="AD42" s="31">
        <f t="shared" si="1"/>
        <v>0.66724689996589814</v>
      </c>
      <c r="AE42" s="31">
        <f t="shared" si="1"/>
        <v>0.14980137238512445</v>
      </c>
      <c r="AF42" s="31">
        <f t="shared" si="1"/>
        <v>5.0618782204651112</v>
      </c>
      <c r="AG42" s="31">
        <f t="shared" si="1"/>
        <v>2.0965065626867441</v>
      </c>
      <c r="AH42" s="31">
        <f t="shared" si="1"/>
        <v>0.14673635987780848</v>
      </c>
      <c r="AI42" s="31">
        <f t="shared" si="1"/>
        <v>0.94490418681477084</v>
      </c>
      <c r="AJ42" s="31"/>
      <c r="AK42" s="31"/>
      <c r="AL42" s="31"/>
    </row>
    <row r="43" spans="1:38" ht="15">
      <c r="A43" s="25" t="s">
        <v>353</v>
      </c>
      <c r="B43" s="25"/>
      <c r="C43" s="25"/>
      <c r="D43" s="25"/>
      <c r="E43" s="25"/>
      <c r="F43" s="25"/>
      <c r="G43" s="25"/>
      <c r="H43" s="25"/>
      <c r="I43" s="25"/>
      <c r="J43" s="25"/>
      <c r="K43" s="21" t="s">
        <v>230</v>
      </c>
      <c r="L43" t="s">
        <v>103</v>
      </c>
      <c r="M43" s="7">
        <v>0.48010000000000003</v>
      </c>
      <c r="N43" s="7">
        <v>0.21314</v>
      </c>
      <c r="O43" s="7">
        <v>0.86573</v>
      </c>
      <c r="P43" s="7">
        <v>-0.6825</v>
      </c>
      <c r="Q43" s="7">
        <v>0.54791999999999996</v>
      </c>
      <c r="R43" s="7">
        <v>-0.61611000000000005</v>
      </c>
      <c r="S43" s="7">
        <v>1.4875400000000001</v>
      </c>
      <c r="T43" s="7">
        <v>-0.94943999999999995</v>
      </c>
      <c r="U43" s="7">
        <v>-0.53529000000000004</v>
      </c>
      <c r="V43" s="84">
        <v>1.09175</v>
      </c>
      <c r="Y43" s="37">
        <v>-0.95396736335156873</v>
      </c>
      <c r="Z43" s="31">
        <f t="shared" si="2"/>
        <v>2.0565492026301206</v>
      </c>
      <c r="AA43" s="31">
        <f t="shared" si="2"/>
        <v>1.3621395975894506</v>
      </c>
      <c r="AB43" s="31">
        <f t="shared" si="1"/>
        <v>3.3112984941886512</v>
      </c>
      <c r="AC43" s="31">
        <f t="shared" si="1"/>
        <v>7.369452936505265E-2</v>
      </c>
      <c r="AD43" s="31">
        <f t="shared" si="1"/>
        <v>2.2556656521951273</v>
      </c>
      <c r="AE43" s="31">
        <f t="shared" si="1"/>
        <v>0.11414759797087391</v>
      </c>
      <c r="AF43" s="31">
        <f t="shared" si="1"/>
        <v>5.9609582052999297</v>
      </c>
      <c r="AG43" s="31">
        <f t="shared" si="1"/>
        <v>2.0497018917128101E-5</v>
      </c>
      <c r="AH43" s="31">
        <f t="shared" si="1"/>
        <v>0.17529073458302147</v>
      </c>
      <c r="AI43" s="31">
        <f t="shared" si="1"/>
        <v>4.1849595307180936</v>
      </c>
      <c r="AJ43" s="31"/>
      <c r="AK43" s="31"/>
      <c r="AL43" s="31"/>
    </row>
    <row r="44" spans="1:38" ht="15.75" thickBot="1">
      <c r="A44" s="25" t="s">
        <v>348</v>
      </c>
      <c r="B44" s="25"/>
      <c r="C44" s="25"/>
      <c r="D44" s="25"/>
      <c r="E44" s="25"/>
      <c r="F44" s="25"/>
      <c r="G44" s="25"/>
      <c r="H44" s="25"/>
      <c r="I44" s="25"/>
      <c r="J44" s="25"/>
      <c r="K44" s="23" t="s">
        <v>218</v>
      </c>
      <c r="L44" s="24" t="s">
        <v>106</v>
      </c>
      <c r="M44" s="85">
        <v>0.85616000000000003</v>
      </c>
      <c r="N44" s="85">
        <v>-0.78398999999999996</v>
      </c>
      <c r="O44" s="85">
        <v>0.89398999999999995</v>
      </c>
      <c r="P44" s="85">
        <v>-0.66896</v>
      </c>
      <c r="Q44" s="85">
        <v>-0.76510999999999996</v>
      </c>
      <c r="R44" s="85">
        <v>0.60853999999999997</v>
      </c>
      <c r="S44" s="85">
        <v>-1.9272499999999999</v>
      </c>
      <c r="T44" s="85">
        <v>-1.0239100000000001</v>
      </c>
      <c r="U44" s="85">
        <v>0.13247999999999999</v>
      </c>
      <c r="V44" s="86">
        <v>-0.23465</v>
      </c>
      <c r="Y44" s="70">
        <v>2.0663052298573463</v>
      </c>
      <c r="Z44" s="69">
        <f t="shared" si="2"/>
        <v>1.4644514773464894</v>
      </c>
      <c r="AA44" s="69">
        <f t="shared" si="2"/>
        <v>8.1241828973475432</v>
      </c>
      <c r="AB44" s="69">
        <f t="shared" si="1"/>
        <v>1.3743229981554825</v>
      </c>
      <c r="AC44" s="69">
        <f t="shared" si="1"/>
        <v>7.4816758776665626</v>
      </c>
      <c r="AD44" s="69">
        <f t="shared" si="1"/>
        <v>8.0169122038681291</v>
      </c>
      <c r="AE44" s="69">
        <f t="shared" si="1"/>
        <v>2.1250794653810416</v>
      </c>
      <c r="AF44" s="69">
        <f t="shared" si="1"/>
        <v>15.948483373920961</v>
      </c>
      <c r="AG44" s="69">
        <f t="shared" si="1"/>
        <v>9.5494301668422903</v>
      </c>
      <c r="AH44" s="69">
        <f t="shared" si="1"/>
        <v>3.7396800196328188</v>
      </c>
      <c r="AI44" s="69">
        <f t="shared" si="1"/>
        <v>5.2943949698078727</v>
      </c>
      <c r="AJ44" s="31"/>
      <c r="AK44" s="31"/>
      <c r="AL44" s="31"/>
    </row>
    <row r="45" spans="1:38">
      <c r="A45" s="25" t="s">
        <v>354</v>
      </c>
      <c r="B45" s="25"/>
      <c r="C45" s="25"/>
      <c r="D45" s="25"/>
      <c r="E45" s="25"/>
      <c r="F45" s="25"/>
      <c r="G45" s="25"/>
      <c r="H45" s="25"/>
      <c r="I45" s="25"/>
      <c r="J45" s="25"/>
      <c r="X45" s="30" t="s">
        <v>355</v>
      </c>
      <c r="Z45" s="49">
        <f>SUM(Z33:Z44)</f>
        <v>21.971748120725429</v>
      </c>
      <c r="AA45" s="32">
        <f>SUM(AA33:AA44)</f>
        <v>32.509188943393042</v>
      </c>
      <c r="AB45" s="32">
        <f t="shared" ref="AB45:AI45" si="3">SUM(AB33:AB44)</f>
        <v>24.592157358145691</v>
      </c>
      <c r="AC45" s="32">
        <f t="shared" si="3"/>
        <v>47.257334887986659</v>
      </c>
      <c r="AD45" s="32">
        <f t="shared" si="3"/>
        <v>33.781240281880727</v>
      </c>
      <c r="AE45" s="50">
        <f t="shared" si="3"/>
        <v>22.461299637401186</v>
      </c>
      <c r="AF45" s="32">
        <f t="shared" si="3"/>
        <v>65.093291360983912</v>
      </c>
      <c r="AG45" s="32">
        <f t="shared" si="3"/>
        <v>48.210863007030852</v>
      </c>
      <c r="AH45" s="32">
        <f t="shared" si="3"/>
        <v>26.21545837433635</v>
      </c>
      <c r="AI45" s="32">
        <f t="shared" si="3"/>
        <v>25.670951442808395</v>
      </c>
      <c r="AJ45" s="33"/>
      <c r="AK45" s="33"/>
      <c r="AL45" s="33"/>
    </row>
    <row r="46" spans="1:38">
      <c r="A46" s="25" t="s">
        <v>356</v>
      </c>
      <c r="B46" s="25"/>
      <c r="C46" s="25"/>
      <c r="D46" s="25"/>
      <c r="E46" s="25"/>
      <c r="F46" s="25"/>
      <c r="G46" s="25"/>
      <c r="H46" s="25"/>
      <c r="I46" s="25"/>
      <c r="J46" s="25"/>
      <c r="Z46" s="4">
        <f>1-($Z45/Z45)</f>
        <v>0</v>
      </c>
      <c r="AA46" s="4">
        <f t="shared" ref="AA46:AI46" si="4">1-($Z45/AA45)</f>
        <v>0.32413730287199838</v>
      </c>
      <c r="AB46" s="4">
        <f t="shared" si="4"/>
        <v>0.10655467103833816</v>
      </c>
      <c r="AC46" s="4">
        <f t="shared" si="4"/>
        <v>0.53506163280674357</v>
      </c>
      <c r="AD46" s="4">
        <f t="shared" si="4"/>
        <v>0.34958728757776147</v>
      </c>
      <c r="AE46" s="4">
        <f t="shared" si="4"/>
        <v>2.1795333510469916E-2</v>
      </c>
      <c r="AF46" s="4">
        <f t="shared" si="4"/>
        <v>0.66245756419232138</v>
      </c>
      <c r="AG46" s="4">
        <f t="shared" si="4"/>
        <v>0.54425731566926794</v>
      </c>
      <c r="AH46" s="4">
        <f t="shared" si="4"/>
        <v>0.16187816337269556</v>
      </c>
      <c r="AI46" s="4">
        <f t="shared" si="4"/>
        <v>0.14410074867401457</v>
      </c>
    </row>
    <row r="47" spans="1:38" ht="15.75">
      <c r="A47" s="25" t="s">
        <v>357</v>
      </c>
      <c r="B47" s="25"/>
      <c r="C47" s="25"/>
      <c r="D47" s="25"/>
      <c r="E47" s="25"/>
      <c r="F47" s="25"/>
      <c r="G47" s="25"/>
      <c r="H47" s="25"/>
      <c r="I47" s="25"/>
      <c r="J47" s="25"/>
      <c r="Y47" s="42" t="s">
        <v>169</v>
      </c>
      <c r="Z47" s="43">
        <f>MATCH(MIN(Z45:AI45),Z45:AI45,0)</f>
        <v>1</v>
      </c>
      <c r="AA47" s="44">
        <f>MIN(Z45:AI45)</f>
        <v>21.971748120725429</v>
      </c>
    </row>
    <row r="48" spans="1:38" ht="18" customHeight="1">
      <c r="A48" s="25" t="s">
        <v>358</v>
      </c>
      <c r="B48" s="25"/>
      <c r="C48" s="25"/>
      <c r="D48" s="27"/>
      <c r="E48" s="27"/>
      <c r="F48" s="25"/>
      <c r="G48" s="25"/>
      <c r="H48" s="25"/>
      <c r="I48" s="25"/>
      <c r="J48" s="67"/>
      <c r="Y48" s="45" t="s">
        <v>170</v>
      </c>
      <c r="Z48" s="46" cm="1">
        <f t="array" ref="Z48">MATCH(1, (Z45:AI45=SMALL(Z45:AI45,2))*1, 0)</f>
        <v>6</v>
      </c>
      <c r="AA48" s="47">
        <f>SMALL(Z45:AI45,2)</f>
        <v>22.461299637401186</v>
      </c>
    </row>
    <row r="49" spans="1:27" ht="15.75">
      <c r="A49" s="25" t="s">
        <v>348</v>
      </c>
      <c r="B49" s="25"/>
      <c r="C49" s="25"/>
      <c r="D49" s="25"/>
      <c r="E49" s="25"/>
      <c r="F49" s="25"/>
      <c r="G49" s="25"/>
      <c r="H49" s="25"/>
      <c r="I49" s="25"/>
      <c r="J49" s="25"/>
      <c r="Y49" s="51" t="s">
        <v>359</v>
      </c>
      <c r="Z49" s="52"/>
      <c r="AA49" s="53">
        <f>AA48/AA47</f>
        <v>1.0222809543412694</v>
      </c>
    </row>
    <row r="50" spans="1:27">
      <c r="A50" s="25" t="s">
        <v>360</v>
      </c>
      <c r="B50" s="25"/>
      <c r="C50" s="25"/>
      <c r="D50" s="25"/>
      <c r="E50" s="25"/>
      <c r="F50" s="25"/>
      <c r="G50" s="25"/>
      <c r="H50" s="25"/>
      <c r="I50" s="25"/>
      <c r="J50" s="25"/>
    </row>
    <row r="51" spans="1:27">
      <c r="A51" t="s">
        <v>361</v>
      </c>
      <c r="Y51" s="48" t="s">
        <v>362</v>
      </c>
    </row>
    <row r="52" spans="1:27">
      <c r="Y52" s="54" t="s">
        <v>363</v>
      </c>
    </row>
    <row r="53" spans="1:27">
      <c r="Y53" s="55" t="s">
        <v>364</v>
      </c>
    </row>
    <row r="54" spans="1:27" ht="15" thickBot="1">
      <c r="Y54" s="55"/>
    </row>
    <row r="55" spans="1:27">
      <c r="A55" t="s">
        <v>310</v>
      </c>
      <c r="B55" s="25"/>
      <c r="C55" s="25"/>
      <c r="D55" s="25"/>
      <c r="E55" s="25"/>
      <c r="F55" s="25"/>
      <c r="T55" s="58" t="s">
        <v>130</v>
      </c>
      <c r="U55" s="59" t="s">
        <v>132</v>
      </c>
      <c r="V55" s="60" t="s">
        <v>133</v>
      </c>
      <c r="W55" s="58" t="s">
        <v>54</v>
      </c>
      <c r="X55" s="60" t="s">
        <v>56</v>
      </c>
      <c r="Y55" s="64" t="s">
        <v>34</v>
      </c>
      <c r="Z55" s="64" t="s">
        <v>365</v>
      </c>
    </row>
    <row r="56" spans="1:27" ht="15" thickBot="1">
      <c r="A56" t="s">
        <v>311</v>
      </c>
      <c r="B56" s="25"/>
      <c r="C56" s="25"/>
      <c r="D56" s="25"/>
      <c r="E56" s="25"/>
      <c r="F56" s="25"/>
      <c r="L56" s="11" t="s">
        <v>128</v>
      </c>
      <c r="T56" s="61">
        <v>4</v>
      </c>
      <c r="U56" s="62">
        <v>5</v>
      </c>
      <c r="V56" s="63">
        <v>6</v>
      </c>
      <c r="W56" s="61">
        <v>2</v>
      </c>
      <c r="X56" s="63">
        <v>1</v>
      </c>
      <c r="Y56" s="65">
        <v>5</v>
      </c>
      <c r="Z56" s="65">
        <v>7</v>
      </c>
    </row>
    <row r="57" spans="1:27">
      <c r="A57" t="s">
        <v>310</v>
      </c>
      <c r="B57" s="25"/>
      <c r="C57" s="25"/>
      <c r="D57" s="25"/>
      <c r="E57" s="25"/>
      <c r="F57" s="25"/>
      <c r="L57" s="12" t="s">
        <v>129</v>
      </c>
      <c r="Y57" s="55"/>
    </row>
    <row r="58" spans="1:27">
      <c r="B58" s="25"/>
      <c r="C58" s="25"/>
      <c r="D58" s="25"/>
      <c r="E58" s="25"/>
      <c r="F58" s="25"/>
      <c r="L58" s="11" t="s">
        <v>134</v>
      </c>
      <c r="W58" t="s">
        <v>196</v>
      </c>
      <c r="Y58" s="35">
        <f>AVERAGE(T56:V56)</f>
        <v>5</v>
      </c>
    </row>
    <row r="59" spans="1:27">
      <c r="A59" t="s">
        <v>366</v>
      </c>
      <c r="B59" s="25"/>
      <c r="C59" s="25"/>
      <c r="D59" s="25"/>
      <c r="E59" s="25"/>
      <c r="F59" s="25"/>
      <c r="L59" s="12" t="s">
        <v>135</v>
      </c>
      <c r="W59" t="s">
        <v>197</v>
      </c>
      <c r="Y59" s="35">
        <f>AVERAGE(W56:X56)</f>
        <v>1.5</v>
      </c>
    </row>
    <row r="60" spans="1:27">
      <c r="A60" t="s">
        <v>367</v>
      </c>
      <c r="B60" s="25"/>
      <c r="C60" s="25"/>
      <c r="D60" s="25"/>
      <c r="E60" s="25"/>
      <c r="F60" s="25"/>
      <c r="L60" s="11" t="s">
        <v>137</v>
      </c>
      <c r="W60" t="s">
        <v>198</v>
      </c>
      <c r="Y60" s="35">
        <f>Y56</f>
        <v>5</v>
      </c>
    </row>
    <row r="61" spans="1:27">
      <c r="B61" s="25"/>
      <c r="C61" s="25"/>
      <c r="D61" s="25"/>
      <c r="E61" s="25"/>
      <c r="F61" s="25"/>
      <c r="L61" s="12" t="s">
        <v>139</v>
      </c>
      <c r="W61" t="s">
        <v>199</v>
      </c>
      <c r="Y61" s="35">
        <f>Z56</f>
        <v>7</v>
      </c>
    </row>
    <row r="62" spans="1:27">
      <c r="B62" s="25"/>
      <c r="C62" s="25"/>
      <c r="D62" s="25"/>
      <c r="E62" s="25"/>
      <c r="F62" s="25"/>
      <c r="L62" s="11" t="s">
        <v>140</v>
      </c>
    </row>
    <row r="63" spans="1:27">
      <c r="B63" s="25"/>
      <c r="C63" s="25"/>
      <c r="D63" s="25"/>
      <c r="E63" s="25"/>
      <c r="F63" s="25"/>
      <c r="L63" s="12" t="s">
        <v>141</v>
      </c>
    </row>
    <row r="64" spans="1:27">
      <c r="A64" t="s">
        <v>327</v>
      </c>
      <c r="B64" s="25"/>
      <c r="C64" s="25"/>
      <c r="D64" s="25"/>
      <c r="E64" s="25"/>
      <c r="F64" s="25"/>
      <c r="L64" s="56" t="s">
        <v>142</v>
      </c>
    </row>
    <row r="65" spans="1:36">
      <c r="B65" s="25"/>
      <c r="C65" s="25"/>
      <c r="D65" s="25"/>
      <c r="E65" s="25"/>
      <c r="F65" s="25"/>
    </row>
    <row r="66" spans="1:36">
      <c r="B66" s="25"/>
      <c r="C66" s="25"/>
      <c r="D66" s="25"/>
      <c r="E66" s="25"/>
      <c r="F66" s="25"/>
    </row>
    <row r="68" spans="1:36">
      <c r="A68" s="25" t="s">
        <v>337</v>
      </c>
      <c r="B68" s="25"/>
      <c r="C68" s="25"/>
      <c r="D68" s="25"/>
      <c r="E68" s="25"/>
      <c r="F68" s="25"/>
      <c r="G68" s="25"/>
      <c r="H68" s="25"/>
      <c r="I68" s="25"/>
      <c r="J68" s="25"/>
    </row>
    <row r="69" spans="1:36" ht="15" thickBot="1">
      <c r="A69" s="25" t="s">
        <v>368</v>
      </c>
      <c r="B69" s="25"/>
      <c r="C69" s="25"/>
      <c r="D69" s="25"/>
      <c r="E69" s="25"/>
      <c r="F69" s="25"/>
      <c r="G69" s="25"/>
      <c r="H69" s="25"/>
      <c r="I69" s="25"/>
      <c r="J69" s="25"/>
    </row>
    <row r="70" spans="1:36">
      <c r="A70" s="25" t="s">
        <v>337</v>
      </c>
      <c r="B70" s="25"/>
      <c r="C70" s="25"/>
      <c r="D70" s="25"/>
      <c r="E70" s="25"/>
      <c r="F70" s="25"/>
      <c r="G70" s="25"/>
      <c r="H70" s="25"/>
      <c r="I70" s="25"/>
      <c r="J70" s="25"/>
      <c r="L70" s="18" t="s">
        <v>264</v>
      </c>
      <c r="M70" s="19" t="s">
        <v>172</v>
      </c>
      <c r="N70" s="19" t="s">
        <v>173</v>
      </c>
      <c r="O70" s="19" t="s">
        <v>265</v>
      </c>
      <c r="P70" s="19" t="s">
        <v>175</v>
      </c>
      <c r="Q70" s="19" t="s">
        <v>176</v>
      </c>
      <c r="R70" s="19" t="s">
        <v>177</v>
      </c>
      <c r="S70" s="19" t="s">
        <v>178</v>
      </c>
      <c r="T70" s="19" t="s">
        <v>266</v>
      </c>
      <c r="U70" s="19" t="s">
        <v>180</v>
      </c>
      <c r="V70" s="20" t="s">
        <v>181</v>
      </c>
    </row>
    <row r="71" spans="1:36">
      <c r="A71" s="25" t="s">
        <v>369</v>
      </c>
      <c r="B71" s="25"/>
      <c r="C71" s="25"/>
      <c r="D71" s="25"/>
      <c r="E71" s="25"/>
      <c r="F71" s="25"/>
      <c r="G71" s="25"/>
      <c r="H71" s="25"/>
      <c r="I71" s="25"/>
      <c r="J71" s="25"/>
      <c r="L71" s="21"/>
      <c r="V71" s="22"/>
    </row>
    <row r="72" spans="1:36">
      <c r="A72" s="25" t="s">
        <v>348</v>
      </c>
      <c r="B72" s="25"/>
      <c r="C72" s="25"/>
      <c r="D72" s="25"/>
      <c r="E72" s="25"/>
      <c r="F72" s="25"/>
      <c r="G72" s="25"/>
      <c r="H72" s="25"/>
      <c r="I72" s="25"/>
      <c r="J72" s="25"/>
      <c r="L72" s="21" t="s">
        <v>184</v>
      </c>
      <c r="M72" s="5">
        <v>-0.38723393045133658</v>
      </c>
      <c r="N72" s="5">
        <v>-0.52493520688521467</v>
      </c>
      <c r="O72" s="5">
        <v>-1.9359476036866492</v>
      </c>
      <c r="P72" s="5">
        <v>-2.3928031491710402</v>
      </c>
      <c r="Q72" s="5">
        <v>-0.68480946471015536</v>
      </c>
      <c r="R72" s="5">
        <v>-1.3603121534539102</v>
      </c>
      <c r="S72" s="5">
        <v>-0.74424352441403696</v>
      </c>
      <c r="T72" t="s">
        <v>195</v>
      </c>
      <c r="U72" s="5">
        <v>-0.87487174583976113</v>
      </c>
      <c r="V72" s="87">
        <v>-1.8022690697265071</v>
      </c>
      <c r="Z72" s="15">
        <v>-0.38723393045133658</v>
      </c>
      <c r="AA72" s="15">
        <v>-0.52493520688521467</v>
      </c>
      <c r="AB72" s="15">
        <v>-1.9359476036866492</v>
      </c>
      <c r="AC72" s="15">
        <v>-2.3928031491710402</v>
      </c>
      <c r="AD72" s="15">
        <v>-0.68480946471015536</v>
      </c>
      <c r="AE72" s="15">
        <v>-1.3603121534539102</v>
      </c>
      <c r="AF72" s="15">
        <v>-0.74424352441403696</v>
      </c>
      <c r="AG72" s="15"/>
      <c r="AH72" s="15">
        <v>-0.87487174583976113</v>
      </c>
      <c r="AI72" s="15">
        <v>-1.8022690697265071</v>
      </c>
      <c r="AJ72" s="15"/>
    </row>
    <row r="73" spans="1:36">
      <c r="A73" s="25" t="s">
        <v>370</v>
      </c>
      <c r="B73" s="25"/>
      <c r="C73" s="25"/>
      <c r="D73" s="25"/>
      <c r="E73" s="25"/>
      <c r="F73" s="25"/>
      <c r="G73" s="25"/>
      <c r="H73" s="25"/>
      <c r="I73" s="25"/>
      <c r="J73" s="25"/>
      <c r="L73" s="21" t="s">
        <v>196</v>
      </c>
      <c r="M73" s="5">
        <v>0.56721940755344291</v>
      </c>
      <c r="N73" s="5">
        <v>0.28923351099807454</v>
      </c>
      <c r="O73" s="5">
        <v>0.8972736833262529</v>
      </c>
      <c r="P73" s="5">
        <v>0.30228393189333908</v>
      </c>
      <c r="Q73" s="5">
        <v>-8.3186224630843991E-2</v>
      </c>
      <c r="R73" s="5">
        <v>0.65066893516317748</v>
      </c>
      <c r="S73" s="5">
        <v>0.20001687121630818</v>
      </c>
      <c r="U73" s="5">
        <v>0.24349404365751201</v>
      </c>
      <c r="V73" s="87">
        <v>0.86542559081574888</v>
      </c>
      <c r="Y73" s="35">
        <v>5</v>
      </c>
      <c r="Z73" s="31">
        <f>$Y73*M73</f>
        <v>2.8360970377672148</v>
      </c>
      <c r="AA73" s="31">
        <f>$Y73*N73</f>
        <v>1.4461675549903728</v>
      </c>
      <c r="AB73" s="31">
        <f t="shared" ref="AB73:AI76" si="5">$Y73*O73</f>
        <v>4.4863684166312643</v>
      </c>
      <c r="AC73" s="31">
        <f t="shared" si="5"/>
        <v>1.5114196594666953</v>
      </c>
      <c r="AD73" s="31">
        <f t="shared" si="5"/>
        <v>-0.41593112315421998</v>
      </c>
      <c r="AE73" s="31">
        <f t="shared" si="5"/>
        <v>3.2533446758158875</v>
      </c>
      <c r="AF73" s="31">
        <f t="shared" si="5"/>
        <v>1.0000843560815409</v>
      </c>
      <c r="AG73" s="31">
        <f t="shared" si="5"/>
        <v>0</v>
      </c>
      <c r="AH73" s="31">
        <f t="shared" si="5"/>
        <v>1.2174702182875601</v>
      </c>
      <c r="AI73" s="31">
        <f t="shared" si="5"/>
        <v>4.327127954078744</v>
      </c>
      <c r="AJ73" s="15"/>
    </row>
    <row r="74" spans="1:36">
      <c r="A74" s="25" t="s">
        <v>371</v>
      </c>
      <c r="B74" s="25"/>
      <c r="C74" s="25"/>
      <c r="D74" s="25"/>
      <c r="E74" s="25"/>
      <c r="F74" s="25"/>
      <c r="G74" s="25"/>
      <c r="H74" s="25"/>
      <c r="I74" s="25"/>
      <c r="J74" s="25"/>
      <c r="L74" s="21" t="s">
        <v>197</v>
      </c>
      <c r="M74" s="5">
        <v>8.1960280841083949E-2</v>
      </c>
      <c r="N74" s="5">
        <v>0.10175176171097858</v>
      </c>
      <c r="O74" s="5">
        <v>-0.11873861209671466</v>
      </c>
      <c r="P74" s="5">
        <v>-5.2295972581845054E-2</v>
      </c>
      <c r="Q74" s="5">
        <v>0.5799338381932001</v>
      </c>
      <c r="R74" s="5">
        <v>-0.21621450930156186</v>
      </c>
      <c r="S74" s="5">
        <v>0.40007648925745548</v>
      </c>
      <c r="U74" s="5">
        <v>0.14516219548223452</v>
      </c>
      <c r="V74" s="87">
        <v>-0.10617888502495448</v>
      </c>
      <c r="Y74" s="35">
        <v>1.5</v>
      </c>
      <c r="Z74" s="31">
        <f t="shared" ref="Z74:AA76" si="6">$Y74*M74</f>
        <v>0.12294042126162592</v>
      </c>
      <c r="AA74" s="31">
        <f t="shared" si="6"/>
        <v>0.15262764256646788</v>
      </c>
      <c r="AB74" s="31">
        <f t="shared" si="5"/>
        <v>-0.17810791814507199</v>
      </c>
      <c r="AC74" s="31">
        <f t="shared" si="5"/>
        <v>-7.8443958872767588E-2</v>
      </c>
      <c r="AD74" s="31">
        <f t="shared" si="5"/>
        <v>0.8699007572898001</v>
      </c>
      <c r="AE74" s="31">
        <f t="shared" si="5"/>
        <v>-0.3243217639523428</v>
      </c>
      <c r="AF74" s="31">
        <f t="shared" si="5"/>
        <v>0.60011473388618319</v>
      </c>
      <c r="AG74" s="31">
        <f t="shared" si="5"/>
        <v>0</v>
      </c>
      <c r="AH74" s="31">
        <f t="shared" si="5"/>
        <v>0.21774329322335179</v>
      </c>
      <c r="AI74" s="31">
        <f t="shared" si="5"/>
        <v>-0.15926832753743173</v>
      </c>
      <c r="AJ74" s="15"/>
    </row>
    <row r="75" spans="1:36">
      <c r="A75" s="25" t="s">
        <v>348</v>
      </c>
      <c r="B75" s="25"/>
      <c r="C75" s="25"/>
      <c r="D75" s="25"/>
      <c r="E75" s="25"/>
      <c r="F75" s="25"/>
      <c r="G75" s="25"/>
      <c r="H75" s="25"/>
      <c r="I75" s="25"/>
      <c r="J75" s="25"/>
      <c r="L75" s="21" t="s">
        <v>198</v>
      </c>
      <c r="M75" s="5">
        <v>-0.45028155320828617</v>
      </c>
      <c r="N75" s="5">
        <v>-0.31931142283771002</v>
      </c>
      <c r="O75" s="5">
        <v>-0.43557905063624547</v>
      </c>
      <c r="P75" s="5">
        <v>0.17574389193804277</v>
      </c>
      <c r="Q75" s="5">
        <v>-0.31661896434437958</v>
      </c>
      <c r="R75" s="5">
        <v>-0.13406311330401652</v>
      </c>
      <c r="S75" s="5">
        <v>-0.43777996857220858</v>
      </c>
      <c r="U75" s="5">
        <v>-0.12724900305712078</v>
      </c>
      <c r="V75" s="87">
        <v>-0.41173826770088323</v>
      </c>
      <c r="Y75" s="35">
        <v>5</v>
      </c>
      <c r="Z75" s="31">
        <f t="shared" si="6"/>
        <v>-2.2514077660414307</v>
      </c>
      <c r="AA75" s="31">
        <f t="shared" si="6"/>
        <v>-1.5965571141885502</v>
      </c>
      <c r="AB75" s="31">
        <f t="shared" si="5"/>
        <v>-2.1778952531812275</v>
      </c>
      <c r="AC75" s="31">
        <f t="shared" si="5"/>
        <v>0.87871945969021381</v>
      </c>
      <c r="AD75" s="31">
        <f t="shared" si="5"/>
        <v>-1.5830948217218979</v>
      </c>
      <c r="AE75" s="31">
        <f t="shared" si="5"/>
        <v>-0.67031556652008262</v>
      </c>
      <c r="AF75" s="31">
        <f t="shared" si="5"/>
        <v>-2.1888998428610429</v>
      </c>
      <c r="AG75" s="31">
        <f t="shared" si="5"/>
        <v>0</v>
      </c>
      <c r="AH75" s="31">
        <f t="shared" si="5"/>
        <v>-0.63624501528560384</v>
      </c>
      <c r="AI75" s="31">
        <f t="shared" si="5"/>
        <v>-2.0586913385044161</v>
      </c>
      <c r="AJ75" s="15"/>
    </row>
    <row r="76" spans="1:36" ht="15" thickBot="1">
      <c r="A76" s="25" t="s">
        <v>372</v>
      </c>
      <c r="B76" s="25"/>
      <c r="C76" s="25"/>
      <c r="D76" s="25"/>
      <c r="E76" s="25"/>
      <c r="F76" s="25"/>
      <c r="G76" s="25"/>
      <c r="H76" s="25"/>
      <c r="I76" s="25"/>
      <c r="J76" s="25"/>
      <c r="L76" s="23" t="s">
        <v>199</v>
      </c>
      <c r="M76" s="88">
        <v>0.13086125387023131</v>
      </c>
      <c r="N76" s="88">
        <v>5.5059521317541542E-2</v>
      </c>
      <c r="O76" s="88">
        <v>0.26990951731301233</v>
      </c>
      <c r="P76" s="88">
        <v>8.7186685382501267E-2</v>
      </c>
      <c r="Q76" s="88">
        <v>-4.1216493805596638E-2</v>
      </c>
      <c r="R76" s="88">
        <v>0.22413891093727673</v>
      </c>
      <c r="S76" s="88">
        <v>1.2210153890026047E-2</v>
      </c>
      <c r="T76" s="24"/>
      <c r="U76" s="88">
        <v>5.5248392464937325E-2</v>
      </c>
      <c r="V76" s="89">
        <v>4.838392511813757E-2</v>
      </c>
      <c r="Y76" s="68">
        <v>7</v>
      </c>
      <c r="Z76" s="69">
        <f t="shared" si="6"/>
        <v>0.91602877709161923</v>
      </c>
      <c r="AA76" s="69">
        <f t="shared" si="6"/>
        <v>0.38541664922279079</v>
      </c>
      <c r="AB76" s="69">
        <f t="shared" si="5"/>
        <v>1.8893666211910862</v>
      </c>
      <c r="AC76" s="69">
        <f t="shared" si="5"/>
        <v>0.61030679767750884</v>
      </c>
      <c r="AD76" s="69">
        <f t="shared" si="5"/>
        <v>-0.28851545663917644</v>
      </c>
      <c r="AE76" s="69">
        <f t="shared" si="5"/>
        <v>1.5689723765609371</v>
      </c>
      <c r="AF76" s="69">
        <f t="shared" si="5"/>
        <v>8.5471077230182324E-2</v>
      </c>
      <c r="AG76" s="69">
        <f t="shared" si="5"/>
        <v>0</v>
      </c>
      <c r="AH76" s="69">
        <f t="shared" si="5"/>
        <v>0.38673874725456125</v>
      </c>
      <c r="AI76" s="69">
        <f t="shared" si="5"/>
        <v>0.33868747582696301</v>
      </c>
      <c r="AJ76" s="15"/>
    </row>
    <row r="77" spans="1:36" ht="18">
      <c r="A77" s="25" t="s">
        <v>373</v>
      </c>
      <c r="B77" s="25"/>
      <c r="C77" s="25"/>
      <c r="D77" s="25"/>
      <c r="E77" s="25"/>
      <c r="F77" s="25"/>
      <c r="G77" s="25"/>
      <c r="H77" s="25"/>
      <c r="I77" s="25"/>
      <c r="J77" s="25"/>
      <c r="Y77" s="66" t="s">
        <v>188</v>
      </c>
      <c r="Z77" s="31">
        <f>SUM(Z72:Z76)</f>
        <v>1.2364245396276927</v>
      </c>
      <c r="AA77" s="31">
        <f t="shared" ref="AA77:AI77" si="7">SUM(AA72:AA76)</f>
        <v>-0.13728047429413343</v>
      </c>
      <c r="AB77" s="31">
        <f t="shared" si="7"/>
        <v>2.0837842628094014</v>
      </c>
      <c r="AC77" s="31">
        <f t="shared" si="7"/>
        <v>0.52919880879061021</v>
      </c>
      <c r="AD77" s="31">
        <f t="shared" si="7"/>
        <v>-2.1024501089356495</v>
      </c>
      <c r="AE77" s="31">
        <f t="shared" si="7"/>
        <v>2.4673675684504888</v>
      </c>
      <c r="AF77" s="31">
        <f t="shared" si="7"/>
        <v>-1.2474732000771733</v>
      </c>
      <c r="AG77" s="31">
        <v>1</v>
      </c>
      <c r="AH77" s="31">
        <f t="shared" si="7"/>
        <v>0.31083549764010809</v>
      </c>
      <c r="AI77" s="31">
        <f t="shared" si="7"/>
        <v>0.64558669413735192</v>
      </c>
      <c r="AJ77" s="33"/>
    </row>
    <row r="78" spans="1:36" ht="15.75">
      <c r="A78" s="25" t="s">
        <v>348</v>
      </c>
      <c r="B78" s="25"/>
      <c r="C78" s="25"/>
      <c r="D78" s="25"/>
      <c r="E78" s="25"/>
      <c r="F78" s="25"/>
      <c r="G78" s="25"/>
      <c r="H78" s="25"/>
      <c r="I78" s="25"/>
      <c r="J78" s="25"/>
      <c r="Y78" s="34" t="s">
        <v>189</v>
      </c>
      <c r="Z78" s="31">
        <f>Z77^2</f>
        <v>1.5287456421935519</v>
      </c>
      <c r="AA78" s="31">
        <f t="shared" ref="AA78:AI78" si="8">AA77^2</f>
        <v>1.884592862242223E-2</v>
      </c>
      <c r="AB78" s="31">
        <f t="shared" si="8"/>
        <v>4.3421568539321207</v>
      </c>
      <c r="AC78" s="31">
        <f t="shared" si="8"/>
        <v>0.2800513792254008</v>
      </c>
      <c r="AD78" s="31">
        <f t="shared" si="8"/>
        <v>4.4202964605635247</v>
      </c>
      <c r="AE78" s="31">
        <f t="shared" si="8"/>
        <v>6.0879027178412777</v>
      </c>
      <c r="AF78" s="31">
        <f t="shared" si="8"/>
        <v>1.5561893849107833</v>
      </c>
      <c r="AG78" s="31">
        <f t="shared" si="8"/>
        <v>1</v>
      </c>
      <c r="AH78" s="31">
        <f t="shared" si="8"/>
        <v>9.6618706593173648E-2</v>
      </c>
      <c r="AI78" s="31">
        <f t="shared" si="8"/>
        <v>0.41678217964719477</v>
      </c>
      <c r="AJ78" s="33">
        <f>SUM(Z78:AI78)</f>
        <v>19.747589253529451</v>
      </c>
    </row>
    <row r="79" spans="1:36" ht="18">
      <c r="A79" s="25" t="s">
        <v>374</v>
      </c>
      <c r="B79" s="25"/>
      <c r="C79" s="25"/>
      <c r="D79" s="25"/>
      <c r="E79" s="25"/>
      <c r="F79" s="25"/>
      <c r="G79" s="25"/>
      <c r="H79" s="25"/>
      <c r="I79" s="25"/>
      <c r="J79" s="25"/>
      <c r="Y79" s="71" t="s">
        <v>190</v>
      </c>
      <c r="Z79" s="72">
        <f>Z78/$AJ78</f>
        <v>7.7414292072148602E-2</v>
      </c>
      <c r="AA79" s="72">
        <f t="shared" ref="AA79:AI79" si="9">AA78/$AJ78</f>
        <v>9.5434072384576916E-4</v>
      </c>
      <c r="AB79" s="75">
        <f t="shared" si="9"/>
        <v>0.21988288282611787</v>
      </c>
      <c r="AC79" s="72">
        <f t="shared" si="9"/>
        <v>1.4181547713493571E-2</v>
      </c>
      <c r="AD79" s="75">
        <f t="shared" si="9"/>
        <v>0.22383980159874417</v>
      </c>
      <c r="AE79" s="74">
        <f t="shared" si="9"/>
        <v>0.30828586921075429</v>
      </c>
      <c r="AF79" s="72">
        <f t="shared" si="9"/>
        <v>7.8804018299734907E-2</v>
      </c>
      <c r="AG79" s="72">
        <f t="shared" si="9"/>
        <v>5.0639092557653427E-2</v>
      </c>
      <c r="AH79" s="72">
        <f t="shared" si="9"/>
        <v>4.8926836259724797E-3</v>
      </c>
      <c r="AI79" s="75">
        <f t="shared" si="9"/>
        <v>2.1105471371534835E-2</v>
      </c>
      <c r="AJ79" s="73"/>
    </row>
    <row r="80" spans="1:36">
      <c r="A80" s="25" t="s">
        <v>348</v>
      </c>
      <c r="B80" s="25"/>
      <c r="C80" s="25"/>
      <c r="D80" s="25"/>
      <c r="E80" s="25"/>
      <c r="F80" s="25"/>
      <c r="G80" s="25"/>
      <c r="H80" s="25"/>
      <c r="I80" s="25"/>
      <c r="J80" s="25"/>
    </row>
    <row r="81" spans="1:35">
      <c r="A81" s="25" t="s">
        <v>375</v>
      </c>
      <c r="B81" s="25"/>
      <c r="C81" s="25"/>
      <c r="D81" s="25"/>
      <c r="E81" s="25"/>
      <c r="F81" s="25"/>
      <c r="G81" s="25"/>
      <c r="H81" s="25"/>
      <c r="I81" s="25"/>
      <c r="J81" s="25"/>
    </row>
    <row r="82" spans="1:35">
      <c r="A82" s="25" t="s">
        <v>348</v>
      </c>
      <c r="B82" s="25"/>
      <c r="C82" s="25"/>
      <c r="D82" s="25"/>
      <c r="E82" s="25"/>
      <c r="F82" s="25"/>
      <c r="G82" s="25"/>
      <c r="H82" s="25"/>
      <c r="I82" s="25"/>
      <c r="J82" s="25"/>
    </row>
    <row r="83" spans="1:35">
      <c r="A83" s="25" t="s">
        <v>376</v>
      </c>
      <c r="B83" s="25"/>
      <c r="C83" s="25"/>
      <c r="D83" s="25"/>
      <c r="E83" s="25"/>
      <c r="F83" s="25"/>
      <c r="G83" s="25"/>
      <c r="H83" s="25"/>
      <c r="I83" s="25"/>
      <c r="J83" s="25"/>
    </row>
    <row r="84" spans="1:35">
      <c r="A84" s="25" t="s">
        <v>377</v>
      </c>
      <c r="B84" s="25"/>
      <c r="C84" s="25"/>
      <c r="D84" s="25"/>
      <c r="E84" s="25"/>
      <c r="F84" s="25"/>
      <c r="G84" s="25"/>
      <c r="H84" s="25"/>
      <c r="I84" s="25"/>
      <c r="J84" s="25"/>
    </row>
    <row r="85" spans="1:35">
      <c r="A85" s="25" t="s">
        <v>348</v>
      </c>
      <c r="B85" s="25"/>
      <c r="C85" s="25"/>
      <c r="D85" s="25"/>
      <c r="E85" s="25"/>
      <c r="F85" s="25"/>
      <c r="G85" s="25"/>
      <c r="H85" s="25"/>
      <c r="I85" s="25"/>
      <c r="J85" s="25"/>
    </row>
    <row r="86" spans="1:35">
      <c r="A86" s="25" t="s">
        <v>378</v>
      </c>
      <c r="B86" s="25"/>
      <c r="C86" s="25"/>
      <c r="D86" s="25"/>
      <c r="E86" s="25"/>
      <c r="F86" s="25"/>
      <c r="G86" s="25"/>
      <c r="H86" s="25"/>
      <c r="I86" s="25"/>
      <c r="J86" s="25"/>
    </row>
    <row r="87" spans="1:35">
      <c r="A87" s="25" t="s">
        <v>379</v>
      </c>
      <c r="B87" s="25"/>
      <c r="C87" s="25"/>
      <c r="D87" s="25"/>
      <c r="E87" s="25"/>
      <c r="F87" s="25"/>
      <c r="G87" s="25"/>
      <c r="H87" s="25"/>
      <c r="I87" s="25"/>
      <c r="J87" s="25"/>
    </row>
    <row r="88" spans="1:35">
      <c r="A88" t="s">
        <v>360</v>
      </c>
    </row>
    <row r="89" spans="1:35">
      <c r="A89" t="s">
        <v>361</v>
      </c>
    </row>
    <row r="90" spans="1:35">
      <c r="A90" t="s">
        <v>380</v>
      </c>
    </row>
    <row r="91" spans="1:35">
      <c r="A91" s="25" t="s">
        <v>337</v>
      </c>
      <c r="B91" s="25"/>
      <c r="C91" s="25"/>
      <c r="D91" s="25"/>
      <c r="E91" s="25"/>
      <c r="F91" s="25"/>
      <c r="G91" s="25"/>
      <c r="H91" s="25"/>
      <c r="I91" s="25"/>
      <c r="J91" s="25"/>
    </row>
    <row r="92" spans="1:35">
      <c r="A92" s="25" t="s">
        <v>381</v>
      </c>
      <c r="B92" s="25"/>
      <c r="C92" s="25"/>
      <c r="D92" s="25"/>
      <c r="E92" s="25"/>
      <c r="F92" s="25"/>
      <c r="G92" s="25"/>
      <c r="H92" s="25"/>
      <c r="I92" s="25"/>
      <c r="J92" s="25"/>
    </row>
    <row r="93" spans="1:35">
      <c r="A93" s="25" t="s">
        <v>337</v>
      </c>
      <c r="B93" s="25"/>
      <c r="C93" s="25"/>
      <c r="D93" s="25"/>
      <c r="E93" s="25"/>
      <c r="F93" s="25"/>
      <c r="G93" s="25"/>
      <c r="H93" s="25"/>
      <c r="I93" s="25"/>
      <c r="J93" s="25"/>
    </row>
    <row r="94" spans="1:35">
      <c r="A94" s="25" t="s">
        <v>348</v>
      </c>
      <c r="B94" s="25"/>
      <c r="C94" s="25"/>
      <c r="D94" s="25"/>
      <c r="E94" s="25"/>
      <c r="F94" s="25"/>
      <c r="G94" s="25"/>
      <c r="H94" s="25"/>
      <c r="I94" s="25"/>
      <c r="J94" s="25"/>
    </row>
    <row r="95" spans="1:35">
      <c r="A95" s="25" t="s">
        <v>382</v>
      </c>
      <c r="B95" s="25"/>
      <c r="C95" s="25"/>
      <c r="D95" s="25"/>
      <c r="E95" s="25"/>
      <c r="F95" s="25"/>
      <c r="G95" s="25"/>
      <c r="H95" s="25"/>
      <c r="I95" s="25"/>
      <c r="J95" s="25"/>
    </row>
    <row r="96" spans="1:35">
      <c r="A96" s="25" t="s">
        <v>348</v>
      </c>
      <c r="B96" s="25"/>
      <c r="C96" s="25"/>
      <c r="D96" s="25"/>
      <c r="E96" s="25"/>
      <c r="F96" s="25"/>
      <c r="G96" s="25"/>
      <c r="H96" s="25"/>
      <c r="I96" s="25"/>
      <c r="J96" s="25"/>
      <c r="X96" t="s">
        <v>383</v>
      </c>
      <c r="Z96">
        <f>RANK(Z45, $Z45:$AI45, 1)</f>
        <v>1</v>
      </c>
      <c r="AA96">
        <f t="shared" ref="AA96:AI96" si="10">RANK(AA45, $Z45:$AI45, 1)</f>
        <v>6</v>
      </c>
      <c r="AB96">
        <f t="shared" si="10"/>
        <v>3</v>
      </c>
      <c r="AC96">
        <f t="shared" si="10"/>
        <v>8</v>
      </c>
      <c r="AD96">
        <f t="shared" si="10"/>
        <v>7</v>
      </c>
      <c r="AE96">
        <f t="shared" si="10"/>
        <v>2</v>
      </c>
      <c r="AF96">
        <f t="shared" si="10"/>
        <v>10</v>
      </c>
      <c r="AG96">
        <f t="shared" si="10"/>
        <v>9</v>
      </c>
      <c r="AH96">
        <f t="shared" si="10"/>
        <v>5</v>
      </c>
      <c r="AI96">
        <f t="shared" si="10"/>
        <v>4</v>
      </c>
    </row>
    <row r="97" spans="1:35">
      <c r="A97" s="25" t="s">
        <v>384</v>
      </c>
      <c r="B97" s="25"/>
      <c r="C97" s="25"/>
      <c r="D97" s="25"/>
      <c r="E97" s="25"/>
      <c r="F97" s="25"/>
      <c r="G97" s="25"/>
      <c r="H97" s="25"/>
      <c r="I97" s="25"/>
      <c r="J97" s="25"/>
      <c r="X97" t="s">
        <v>385</v>
      </c>
      <c r="Z97">
        <f>RANK(Z79, $Z79:$AI79, 0)</f>
        <v>5</v>
      </c>
      <c r="AA97">
        <f t="shared" ref="AA97:AI97" si="11">RANK(AA79, $Z79:$AI79, 0)</f>
        <v>10</v>
      </c>
      <c r="AB97">
        <f t="shared" si="11"/>
        <v>3</v>
      </c>
      <c r="AC97">
        <f t="shared" si="11"/>
        <v>8</v>
      </c>
      <c r="AD97">
        <f t="shared" si="11"/>
        <v>2</v>
      </c>
      <c r="AE97">
        <f t="shared" si="11"/>
        <v>1</v>
      </c>
      <c r="AF97">
        <f t="shared" si="11"/>
        <v>4</v>
      </c>
      <c r="AG97">
        <f t="shared" si="11"/>
        <v>6</v>
      </c>
      <c r="AH97">
        <f t="shared" si="11"/>
        <v>9</v>
      </c>
      <c r="AI97">
        <f t="shared" si="11"/>
        <v>7</v>
      </c>
    </row>
    <row r="98" spans="1:35">
      <c r="A98" s="25" t="s">
        <v>348</v>
      </c>
      <c r="B98" s="25"/>
      <c r="C98" s="25"/>
      <c r="D98" s="25"/>
      <c r="E98" s="25"/>
      <c r="F98" s="25"/>
      <c r="G98" s="25"/>
      <c r="H98" s="25"/>
      <c r="I98" s="25"/>
      <c r="J98" s="25"/>
      <c r="X98" s="16" t="s">
        <v>386</v>
      </c>
      <c r="Z98" s="16">
        <f>SUM(Z96:Z97)</f>
        <v>6</v>
      </c>
      <c r="AA98" s="16">
        <f t="shared" ref="AA98:AI98" si="12">SUM(AA96:AA97)</f>
        <v>16</v>
      </c>
      <c r="AB98" s="16">
        <f t="shared" si="12"/>
        <v>6</v>
      </c>
      <c r="AC98" s="16">
        <f t="shared" si="12"/>
        <v>16</v>
      </c>
      <c r="AD98" s="16">
        <f t="shared" si="12"/>
        <v>9</v>
      </c>
      <c r="AE98" s="16">
        <f t="shared" si="12"/>
        <v>3</v>
      </c>
      <c r="AF98" s="16">
        <f t="shared" si="12"/>
        <v>14</v>
      </c>
      <c r="AG98" s="16">
        <f t="shared" si="12"/>
        <v>15</v>
      </c>
      <c r="AH98" s="16">
        <f t="shared" si="12"/>
        <v>14</v>
      </c>
      <c r="AI98" s="16">
        <f t="shared" si="12"/>
        <v>11</v>
      </c>
    </row>
    <row r="99" spans="1:35">
      <c r="A99" s="25" t="s">
        <v>387</v>
      </c>
      <c r="B99" s="25"/>
      <c r="C99" s="25"/>
      <c r="D99" s="25"/>
      <c r="E99" s="25"/>
      <c r="F99" s="25"/>
      <c r="G99" s="25"/>
      <c r="H99" s="25"/>
      <c r="I99" s="25"/>
      <c r="J99" s="25"/>
    </row>
    <row r="100" spans="1:35">
      <c r="A100" s="25" t="s">
        <v>348</v>
      </c>
      <c r="B100" s="25"/>
      <c r="C100" s="25"/>
      <c r="D100" s="25"/>
      <c r="E100" s="25"/>
      <c r="F100" s="25"/>
      <c r="G100" s="25"/>
      <c r="H100" s="25"/>
      <c r="I100" s="25"/>
      <c r="J100" s="25"/>
    </row>
    <row r="101" spans="1:35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spans="1:35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spans="1:35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spans="1:35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35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35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35">
      <c r="A107" s="25" t="s">
        <v>348</v>
      </c>
      <c r="B107" s="25"/>
      <c r="C107" s="25"/>
      <c r="D107" s="25"/>
      <c r="E107" s="25"/>
      <c r="F107" s="25"/>
      <c r="G107" s="25"/>
      <c r="H107" s="25"/>
      <c r="I107" s="25"/>
      <c r="J107" s="25"/>
    </row>
    <row r="108" spans="1:35">
      <c r="A108" s="25" t="s">
        <v>388</v>
      </c>
      <c r="B108" s="25"/>
      <c r="C108" s="25"/>
      <c r="D108" s="25"/>
      <c r="E108" s="25"/>
      <c r="F108" s="25"/>
      <c r="G108" s="25"/>
      <c r="H108" s="25"/>
      <c r="I108" s="25"/>
      <c r="J108" s="25"/>
    </row>
    <row r="109" spans="1:35">
      <c r="A109" s="26" t="s">
        <v>389</v>
      </c>
      <c r="B109" s="25"/>
      <c r="C109" s="25"/>
      <c r="D109" s="25"/>
      <c r="E109" s="25"/>
      <c r="F109" s="25"/>
      <c r="G109" s="25"/>
      <c r="H109" s="25"/>
      <c r="I109" s="25"/>
      <c r="J109" s="25"/>
    </row>
    <row r="110" spans="1:35">
      <c r="A110" s="26" t="s">
        <v>390</v>
      </c>
      <c r="B110" s="25"/>
      <c r="C110" s="25"/>
      <c r="D110" s="25"/>
      <c r="E110" s="25"/>
      <c r="F110" s="25"/>
      <c r="G110" s="25"/>
      <c r="H110" s="25"/>
      <c r="I110" s="25"/>
      <c r="J110" s="25"/>
    </row>
    <row r="111" spans="1:35">
      <c r="A111" s="26" t="s">
        <v>391</v>
      </c>
      <c r="B111" s="25"/>
      <c r="C111" s="25"/>
      <c r="D111" s="25"/>
      <c r="E111" s="25"/>
      <c r="F111" s="25"/>
      <c r="G111" s="25"/>
      <c r="H111" s="25"/>
      <c r="I111" s="25"/>
      <c r="J111" s="25"/>
    </row>
    <row r="112" spans="1:35">
      <c r="A112" s="26" t="s">
        <v>392</v>
      </c>
      <c r="B112" s="26"/>
      <c r="C112" s="25"/>
      <c r="D112" s="25"/>
      <c r="E112" s="25"/>
      <c r="F112" s="25"/>
      <c r="G112" s="25"/>
      <c r="H112" s="25"/>
      <c r="I112" s="25"/>
      <c r="J112" s="25"/>
    </row>
    <row r="113" spans="1:10">
      <c r="A113" s="26" t="s">
        <v>393</v>
      </c>
      <c r="B113" s="26"/>
      <c r="C113" s="25"/>
      <c r="D113" s="25"/>
      <c r="E113" s="25"/>
      <c r="F113" s="25"/>
      <c r="G113" s="25"/>
      <c r="H113" s="25"/>
      <c r="I113" s="25"/>
      <c r="J113" s="25"/>
    </row>
    <row r="114" spans="1:10">
      <c r="A114" s="25" t="s">
        <v>337</v>
      </c>
      <c r="B114" s="25"/>
      <c r="C114" s="25"/>
      <c r="D114" s="25"/>
      <c r="E114" s="25"/>
      <c r="F114" s="25"/>
      <c r="G114" s="25"/>
      <c r="H114" s="25"/>
      <c r="I114" s="25"/>
      <c r="J114" s="25"/>
    </row>
    <row r="117" spans="1:10">
      <c r="A117" t="s">
        <v>328</v>
      </c>
    </row>
    <row r="121" spans="1:10">
      <c r="A121" s="16"/>
    </row>
    <row r="124" spans="1:10">
      <c r="A124" s="16"/>
    </row>
  </sheetData>
  <conditionalFormatting sqref="Z46:AI46">
    <cfRule type="colorScale" priority="2">
      <colorScale>
        <cfvo type="num" val="0"/>
        <cfvo type="num" val="0.1"/>
        <cfvo type="max"/>
        <color rgb="FFF8696B"/>
        <color rgb="FFFFEB84"/>
        <color rgb="FF63BE7B"/>
      </colorScale>
    </cfRule>
  </conditionalFormatting>
  <conditionalFormatting sqref="Z98:AI98">
    <cfRule type="top10" dxfId="1" priority="1" bottom="1" rank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7550-FF37-4A39-8939-41F1A0467602}">
  <dimension ref="A4:H48"/>
  <sheetViews>
    <sheetView workbookViewId="0">
      <selection activeCell="E47" sqref="E47"/>
    </sheetView>
  </sheetViews>
  <sheetFormatPr defaultRowHeight="14.25"/>
  <cols>
    <col min="1" max="1" width="22.875" customWidth="1"/>
    <col min="2" max="2" width="6.5" style="100" bestFit="1" customWidth="1"/>
    <col min="3" max="3" width="22" style="57" customWidth="1"/>
    <col min="4" max="4" width="12.125" style="105" customWidth="1"/>
    <col min="5" max="5" width="50" customWidth="1"/>
    <col min="6" max="6" width="18.125" style="91" customWidth="1"/>
  </cols>
  <sheetData>
    <row r="4" spans="1:8">
      <c r="G4" t="s">
        <v>394</v>
      </c>
      <c r="H4" t="s">
        <v>395</v>
      </c>
    </row>
    <row r="5" spans="1:8" s="90" customFormat="1" ht="28.5">
      <c r="A5" s="102" t="s">
        <v>396</v>
      </c>
      <c r="B5" s="98"/>
      <c r="C5" s="96" t="s">
        <v>113</v>
      </c>
      <c r="D5" s="103" t="s">
        <v>114</v>
      </c>
      <c r="E5" s="92" t="s">
        <v>397</v>
      </c>
      <c r="F5" s="93"/>
      <c r="G5">
        <v>3.1911</v>
      </c>
      <c r="H5">
        <v>0.53471999999999997</v>
      </c>
    </row>
    <row r="6" spans="1:8" s="90" customFormat="1" ht="28.5">
      <c r="A6" s="102" t="s">
        <v>398</v>
      </c>
      <c r="B6" s="98" t="s">
        <v>399</v>
      </c>
      <c r="C6" s="96" t="s">
        <v>20</v>
      </c>
      <c r="D6" s="103" t="s">
        <v>117</v>
      </c>
      <c r="E6" s="92" t="s">
        <v>400</v>
      </c>
      <c r="F6" s="93" t="s">
        <v>118</v>
      </c>
      <c r="G6" s="90">
        <v>4.8754</v>
      </c>
      <c r="H6" s="90">
        <v>0.91659999999999997</v>
      </c>
    </row>
    <row r="7" spans="1:8" s="90" customFormat="1" ht="36">
      <c r="A7" s="102"/>
      <c r="B7" s="98"/>
      <c r="C7" s="96" t="s">
        <v>120</v>
      </c>
      <c r="D7" s="103" t="s">
        <v>117</v>
      </c>
      <c r="E7" s="92" t="s">
        <v>401</v>
      </c>
      <c r="F7" s="93" t="s">
        <v>121</v>
      </c>
    </row>
    <row r="8" spans="1:8" s="90" customFormat="1" ht="36">
      <c r="A8" s="102"/>
      <c r="B8" s="98"/>
      <c r="C8" s="96" t="s">
        <v>22</v>
      </c>
      <c r="D8" s="103" t="s">
        <v>117</v>
      </c>
      <c r="E8" s="92" t="s">
        <v>402</v>
      </c>
      <c r="F8" s="93" t="s">
        <v>123</v>
      </c>
    </row>
    <row r="9" spans="1:8" s="90" customFormat="1" ht="42.75">
      <c r="A9" s="102" t="s">
        <v>403</v>
      </c>
      <c r="B9" s="98" t="s">
        <v>399</v>
      </c>
      <c r="C9" s="96" t="s">
        <v>404</v>
      </c>
      <c r="D9" s="103" t="s">
        <v>125</v>
      </c>
      <c r="E9" s="92" t="s">
        <v>405</v>
      </c>
      <c r="F9" s="93"/>
      <c r="G9" s="90">
        <v>2.4272</v>
      </c>
      <c r="H9" s="90">
        <v>0.93906999999999996</v>
      </c>
    </row>
    <row r="10" spans="1:8" s="90" customFormat="1" ht="42.75">
      <c r="A10" s="102"/>
      <c r="B10" s="98"/>
      <c r="C10" s="96" t="s">
        <v>30</v>
      </c>
      <c r="D10" s="103" t="s">
        <v>125</v>
      </c>
      <c r="E10" s="92" t="s">
        <v>406</v>
      </c>
      <c r="F10" s="93"/>
    </row>
    <row r="11" spans="1:8" s="90" customFormat="1" ht="28.5">
      <c r="A11" s="102" t="s">
        <v>407</v>
      </c>
      <c r="B11" s="98" t="s">
        <v>399</v>
      </c>
      <c r="C11" s="96" t="s">
        <v>32</v>
      </c>
      <c r="D11" s="103" t="s">
        <v>127</v>
      </c>
      <c r="E11" s="101" t="s">
        <v>33</v>
      </c>
      <c r="F11" s="93"/>
      <c r="G11" s="90">
        <v>4.6403999999999996</v>
      </c>
      <c r="H11" s="90">
        <v>2.0521699999999998</v>
      </c>
    </row>
    <row r="12" spans="1:8" s="90" customFormat="1" ht="24">
      <c r="A12" s="92"/>
      <c r="B12" s="98"/>
      <c r="C12" s="96" t="s">
        <v>408</v>
      </c>
      <c r="D12" s="103" t="s">
        <v>127</v>
      </c>
      <c r="E12" s="92" t="s">
        <v>409</v>
      </c>
      <c r="F12" s="93"/>
    </row>
    <row r="13" spans="1:8" s="90" customFormat="1" ht="28.5">
      <c r="A13" s="92"/>
      <c r="B13" s="98"/>
      <c r="C13" s="96" t="s">
        <v>410</v>
      </c>
      <c r="D13" s="103" t="s">
        <v>127</v>
      </c>
      <c r="E13" s="101" t="s">
        <v>411</v>
      </c>
      <c r="F13" s="93"/>
    </row>
    <row r="14" spans="1:8">
      <c r="A14" s="94"/>
      <c r="B14" s="99"/>
      <c r="C14" s="97"/>
      <c r="D14" s="104"/>
      <c r="E14" s="94"/>
      <c r="F14" s="95"/>
    </row>
    <row r="17" spans="3:7">
      <c r="C17" s="100"/>
      <c r="D17" s="57"/>
      <c r="E17" s="105"/>
      <c r="F17"/>
      <c r="G17" s="91"/>
    </row>
    <row r="18" spans="3:7">
      <c r="C18" s="100"/>
      <c r="D18" s="57"/>
      <c r="E18" s="105"/>
      <c r="F18"/>
      <c r="G18" s="91"/>
    </row>
    <row r="19" spans="3:7">
      <c r="C19" s="100"/>
      <c r="D19" s="57"/>
      <c r="E19" s="105"/>
      <c r="F19"/>
      <c r="G19" s="91"/>
    </row>
    <row r="20" spans="3:7">
      <c r="D20" s="57"/>
      <c r="E20" s="105"/>
      <c r="F20"/>
      <c r="G20" s="91"/>
    </row>
    <row r="21" spans="3:7">
      <c r="D21" s="57"/>
      <c r="E21" s="105"/>
      <c r="F21"/>
      <c r="G21" s="91"/>
    </row>
    <row r="22" spans="3:7">
      <c r="D22" s="57"/>
      <c r="E22" s="105"/>
      <c r="F22"/>
      <c r="G22" s="91"/>
    </row>
    <row r="23" spans="3:7">
      <c r="D23" s="57"/>
      <c r="E23" s="105"/>
      <c r="F23"/>
      <c r="G23" s="91"/>
    </row>
    <row r="24" spans="3:7">
      <c r="D24" s="57"/>
      <c r="E24" s="105"/>
      <c r="F24"/>
      <c r="G24" s="91"/>
    </row>
    <row r="25" spans="3:7">
      <c r="D25" s="57"/>
      <c r="E25" s="105"/>
      <c r="F25"/>
      <c r="G25" s="91"/>
    </row>
    <row r="26" spans="3:7">
      <c r="D26" s="57"/>
      <c r="F26"/>
      <c r="G26" s="91"/>
    </row>
    <row r="27" spans="3:7">
      <c r="D27" s="91"/>
      <c r="E27" s="57"/>
      <c r="F27"/>
      <c r="G27" s="91"/>
    </row>
    <row r="28" spans="3:7">
      <c r="D28" s="91"/>
      <c r="E28" s="57"/>
      <c r="F28"/>
      <c r="G28" s="91"/>
    </row>
    <row r="29" spans="3:7">
      <c r="D29" s="91"/>
      <c r="E29" s="57"/>
      <c r="F29"/>
      <c r="G29" s="91"/>
    </row>
    <row r="30" spans="3:7">
      <c r="D30" s="91"/>
      <c r="E30" s="57"/>
      <c r="F30"/>
      <c r="G30" s="91"/>
    </row>
    <row r="31" spans="3:7">
      <c r="D31" s="91"/>
      <c r="E31" s="57"/>
      <c r="F31"/>
      <c r="G31" s="91"/>
    </row>
    <row r="32" spans="3:7">
      <c r="D32" s="57"/>
      <c r="E32" s="105"/>
      <c r="F32"/>
      <c r="G32" s="91"/>
    </row>
    <row r="33" spans="4:7">
      <c r="D33" s="57"/>
      <c r="E33" s="105"/>
      <c r="F33"/>
      <c r="G33" s="91"/>
    </row>
    <row r="34" spans="4:7">
      <c r="D34" s="57"/>
      <c r="E34" s="105"/>
      <c r="F34"/>
      <c r="G34" s="91"/>
    </row>
    <row r="35" spans="4:7">
      <c r="D35" s="57"/>
      <c r="E35" s="105"/>
      <c r="F35"/>
      <c r="G35" s="91"/>
    </row>
    <row r="36" spans="4:7">
      <c r="D36" s="57"/>
      <c r="E36" s="105"/>
      <c r="F36"/>
      <c r="G36" s="91"/>
    </row>
    <row r="37" spans="4:7">
      <c r="D37" s="57"/>
      <c r="E37" s="105"/>
      <c r="F37"/>
      <c r="G37" s="91"/>
    </row>
    <row r="38" spans="4:7">
      <c r="D38" s="57"/>
      <c r="E38" s="105"/>
      <c r="F38"/>
      <c r="G38" s="91"/>
    </row>
    <row r="39" spans="4:7">
      <c r="D39" s="57"/>
      <c r="E39" s="105"/>
      <c r="F39"/>
      <c r="G39" s="91"/>
    </row>
    <row r="40" spans="4:7">
      <c r="D40" s="57"/>
      <c r="E40" s="105"/>
      <c r="F40"/>
      <c r="G40" s="91"/>
    </row>
    <row r="41" spans="4:7">
      <c r="D41" s="57"/>
      <c r="E41" s="105"/>
      <c r="F41"/>
      <c r="G41" s="91"/>
    </row>
    <row r="42" spans="4:7">
      <c r="D42" s="57"/>
      <c r="E42" s="105"/>
      <c r="F42"/>
      <c r="G42" s="91"/>
    </row>
    <row r="43" spans="4:7">
      <c r="D43" s="57"/>
      <c r="E43" s="105"/>
      <c r="F43"/>
      <c r="G43" s="91"/>
    </row>
    <row r="44" spans="4:7">
      <c r="D44" s="57"/>
      <c r="E44" s="105"/>
      <c r="F44"/>
      <c r="G44" s="91"/>
    </row>
    <row r="45" spans="4:7">
      <c r="D45" s="57"/>
      <c r="E45" s="105"/>
      <c r="F45"/>
      <c r="G45" s="91"/>
    </row>
    <row r="46" spans="4:7">
      <c r="D46" s="57"/>
      <c r="E46" s="105"/>
      <c r="F46"/>
      <c r="G46" s="91"/>
    </row>
    <row r="47" spans="4:7">
      <c r="D47" s="57"/>
      <c r="E47" s="105"/>
      <c r="F47"/>
      <c r="G47" s="91"/>
    </row>
    <row r="48" spans="4:7">
      <c r="D48" s="57"/>
      <c r="E48" s="105"/>
      <c r="F48"/>
      <c r="G48" s="9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D6EC-01FF-4502-B2A3-F343562E0A3B}">
  <dimension ref="A1:AL124"/>
  <sheetViews>
    <sheetView topLeftCell="K15" zoomScale="70" zoomScaleNormal="70" workbookViewId="0">
      <selection activeCell="M72" sqref="M72:V76"/>
    </sheetView>
  </sheetViews>
  <sheetFormatPr defaultRowHeight="14.25"/>
  <cols>
    <col min="11" max="11" width="4.375" customWidth="1"/>
    <col min="12" max="12" width="25.25" customWidth="1"/>
    <col min="27" max="27" width="8.375" customWidth="1"/>
  </cols>
  <sheetData>
    <row r="1" spans="1:34">
      <c r="A1" t="s">
        <v>310</v>
      </c>
      <c r="B1" s="25"/>
      <c r="C1" s="25"/>
      <c r="D1" s="25"/>
      <c r="E1" s="25"/>
      <c r="F1" s="25"/>
    </row>
    <row r="2" spans="1:34">
      <c r="A2" t="s">
        <v>311</v>
      </c>
      <c r="B2" s="25"/>
      <c r="C2" s="25"/>
      <c r="D2" s="25"/>
      <c r="E2" s="25"/>
      <c r="F2" s="25"/>
    </row>
    <row r="3" spans="1:34">
      <c r="A3" t="s">
        <v>310</v>
      </c>
      <c r="B3" s="25"/>
      <c r="C3" s="25"/>
      <c r="D3" s="25"/>
      <c r="E3" s="25"/>
      <c r="F3" s="25"/>
    </row>
    <row r="4" spans="1:34">
      <c r="A4" t="s">
        <v>412</v>
      </c>
      <c r="B4" s="25"/>
      <c r="C4" s="25"/>
      <c r="D4" s="25"/>
      <c r="E4" s="25"/>
      <c r="F4" s="25"/>
    </row>
    <row r="5" spans="1:34" ht="17.25">
      <c r="A5" t="s">
        <v>313</v>
      </c>
      <c r="B5" s="25"/>
      <c r="C5" s="25"/>
      <c r="D5" s="25"/>
      <c r="E5" s="25"/>
      <c r="F5" s="25"/>
    </row>
    <row r="6" spans="1:34" ht="17.25">
      <c r="A6" t="s">
        <v>314</v>
      </c>
      <c r="B6" s="25"/>
      <c r="C6" s="25"/>
      <c r="D6" s="25"/>
      <c r="E6" s="25"/>
      <c r="F6" s="25"/>
      <c r="W6" s="39" t="s">
        <v>315</v>
      </c>
      <c r="X6" s="39" t="s">
        <v>316</v>
      </c>
      <c r="Y6" s="39" t="s">
        <v>317</v>
      </c>
      <c r="Z6" s="39" t="s">
        <v>318</v>
      </c>
      <c r="AA6" s="39" t="s">
        <v>319</v>
      </c>
      <c r="AB6" s="39" t="s">
        <v>320</v>
      </c>
      <c r="AC6" s="39" t="s">
        <v>321</v>
      </c>
      <c r="AD6" s="39" t="s">
        <v>322</v>
      </c>
      <c r="AE6" s="39" t="s">
        <v>323</v>
      </c>
      <c r="AF6" s="39" t="s">
        <v>324</v>
      </c>
      <c r="AG6" s="39" t="s">
        <v>325</v>
      </c>
      <c r="AH6" s="39" t="s">
        <v>326</v>
      </c>
    </row>
    <row r="7" spans="1:34">
      <c r="B7" s="25"/>
      <c r="C7" s="25"/>
      <c r="D7" s="25"/>
      <c r="E7" s="25"/>
      <c r="F7" s="25"/>
      <c r="W7" s="41">
        <v>1</v>
      </c>
      <c r="X7" s="41">
        <v>-1</v>
      </c>
      <c r="Y7" s="41">
        <v>0</v>
      </c>
      <c r="Z7" s="41">
        <v>2</v>
      </c>
      <c r="AA7" s="41">
        <v>-1</v>
      </c>
      <c r="AB7" s="41">
        <v>0</v>
      </c>
      <c r="AC7" s="41">
        <v>1</v>
      </c>
      <c r="AD7" s="41">
        <v>0</v>
      </c>
      <c r="AE7" s="41">
        <v>-2</v>
      </c>
      <c r="AF7" s="41">
        <v>1</v>
      </c>
      <c r="AG7" s="41">
        <v>-1</v>
      </c>
      <c r="AH7" s="41">
        <v>2</v>
      </c>
    </row>
    <row r="8" spans="1:34">
      <c r="A8" t="s">
        <v>327</v>
      </c>
      <c r="B8" s="25"/>
      <c r="C8" s="25"/>
      <c r="D8" s="25"/>
      <c r="E8" s="25"/>
      <c r="F8" s="25"/>
    </row>
    <row r="9" spans="1:34" ht="15" thickBot="1">
      <c r="A9" t="s">
        <v>328</v>
      </c>
    </row>
    <row r="10" spans="1:34">
      <c r="M10" s="76" t="s">
        <v>329</v>
      </c>
      <c r="N10" s="77" t="s">
        <v>14</v>
      </c>
      <c r="O10" s="78" t="s">
        <v>15</v>
      </c>
      <c r="X10" s="35"/>
      <c r="Y10" s="36" t="s">
        <v>330</v>
      </c>
    </row>
    <row r="11" spans="1:34" ht="17.25">
      <c r="A11" t="s">
        <v>310</v>
      </c>
      <c r="B11" s="25"/>
      <c r="C11" s="25"/>
      <c r="D11" s="25"/>
      <c r="E11" s="25"/>
      <c r="F11" s="25"/>
      <c r="M11" s="79" t="s">
        <v>331</v>
      </c>
      <c r="N11" s="15">
        <v>0.1757</v>
      </c>
      <c r="O11" s="80">
        <v>0.98707</v>
      </c>
      <c r="X11" s="40">
        <v>1</v>
      </c>
      <c r="Y11" s="37">
        <f>(X11-N11)/O11</f>
        <v>0.83509781474464828</v>
      </c>
      <c r="Z11" t="s">
        <v>332</v>
      </c>
    </row>
    <row r="12" spans="1:34" ht="15">
      <c r="A12" t="s">
        <v>333</v>
      </c>
      <c r="B12" s="25"/>
      <c r="C12" s="25"/>
      <c r="D12" s="25"/>
      <c r="E12" s="25"/>
      <c r="F12" s="25"/>
      <c r="M12" s="79" t="s">
        <v>316</v>
      </c>
      <c r="N12" s="15">
        <v>-7.9299999999999995E-2</v>
      </c>
      <c r="O12" s="80">
        <v>0.90625999999999995</v>
      </c>
      <c r="X12" s="40">
        <v>-1</v>
      </c>
      <c r="Y12" s="37">
        <f t="shared" ref="Y12:Y22" si="0">(X12-N12)/O12</f>
        <v>-1.015933617284223</v>
      </c>
    </row>
    <row r="13" spans="1:34" ht="15">
      <c r="A13" t="s">
        <v>310</v>
      </c>
      <c r="B13" s="25"/>
      <c r="C13" s="25"/>
      <c r="D13" s="25"/>
      <c r="E13" s="25"/>
      <c r="F13" s="25"/>
      <c r="M13" s="79" t="s">
        <v>317</v>
      </c>
      <c r="N13" s="15">
        <v>0.1123</v>
      </c>
      <c r="O13" s="80">
        <v>0.86736999999999997</v>
      </c>
      <c r="P13" s="29"/>
      <c r="X13" s="40">
        <v>0</v>
      </c>
      <c r="Y13" s="37">
        <f t="shared" si="0"/>
        <v>-0.12947185168959038</v>
      </c>
    </row>
    <row r="14" spans="1:34" ht="15">
      <c r="A14" t="s">
        <v>334</v>
      </c>
      <c r="B14" s="25"/>
      <c r="C14" s="25"/>
      <c r="D14" s="25"/>
      <c r="E14" s="25"/>
      <c r="F14" s="25"/>
      <c r="M14" s="79" t="s">
        <v>318</v>
      </c>
      <c r="N14" s="15">
        <v>-1.83E-2</v>
      </c>
      <c r="O14" s="80">
        <v>0.67225999999999997</v>
      </c>
      <c r="X14" s="40">
        <v>2</v>
      </c>
      <c r="Y14" s="37">
        <f t="shared" si="0"/>
        <v>3.002261029958647</v>
      </c>
    </row>
    <row r="15" spans="1:34" ht="17.25">
      <c r="A15" t="s">
        <v>335</v>
      </c>
      <c r="B15" s="25"/>
      <c r="C15" s="25"/>
      <c r="D15" s="25"/>
      <c r="E15" s="25"/>
      <c r="F15" s="25"/>
      <c r="M15" s="79" t="s">
        <v>319</v>
      </c>
      <c r="N15" s="15">
        <v>-0.2702</v>
      </c>
      <c r="O15" s="80">
        <v>1.0097799999999999</v>
      </c>
      <c r="X15" s="40">
        <v>-1</v>
      </c>
      <c r="Y15" s="37">
        <f t="shared" si="0"/>
        <v>-0.72273168412921629</v>
      </c>
    </row>
    <row r="16" spans="1:34" ht="15">
      <c r="A16" t="s">
        <v>336</v>
      </c>
      <c r="B16" s="25"/>
      <c r="C16" s="25"/>
      <c r="D16" s="25"/>
      <c r="E16" s="25"/>
      <c r="F16" s="25"/>
      <c r="M16" s="79" t="s">
        <v>320</v>
      </c>
      <c r="N16" s="15">
        <v>-6.7799999999999999E-2</v>
      </c>
      <c r="O16" s="80">
        <v>0.91093000000000002</v>
      </c>
      <c r="X16" s="40">
        <v>0</v>
      </c>
      <c r="Y16" s="37">
        <f t="shared" si="0"/>
        <v>7.442942926459771E-2</v>
      </c>
    </row>
    <row r="17" spans="1:35" ht="15">
      <c r="B17" s="25"/>
      <c r="C17" s="25"/>
      <c r="D17" s="25"/>
      <c r="E17" s="25"/>
      <c r="F17" s="25"/>
      <c r="M17" s="79" t="s">
        <v>321</v>
      </c>
      <c r="N17" s="15">
        <v>-9.5999999999999992E-3</v>
      </c>
      <c r="O17" s="80">
        <v>0.70230000000000004</v>
      </c>
      <c r="X17" s="40">
        <v>1</v>
      </c>
      <c r="Y17" s="37">
        <f t="shared" si="0"/>
        <v>1.4375622953153924</v>
      </c>
    </row>
    <row r="18" spans="1:35" ht="15">
      <c r="A18" t="s">
        <v>327</v>
      </c>
      <c r="B18" s="25"/>
      <c r="C18" s="25"/>
      <c r="D18" s="25"/>
      <c r="E18" s="25"/>
      <c r="F18" s="25"/>
      <c r="M18" s="79" t="s">
        <v>322</v>
      </c>
      <c r="N18" s="15">
        <v>0.2165</v>
      </c>
      <c r="O18" s="80">
        <v>0.82948999999999995</v>
      </c>
      <c r="X18" s="40">
        <v>0</v>
      </c>
      <c r="Y18" s="37">
        <f>(X18-N18)/O18</f>
        <v>-0.26100374929173348</v>
      </c>
    </row>
    <row r="19" spans="1:35" ht="15">
      <c r="M19" s="79" t="s">
        <v>323</v>
      </c>
      <c r="N19" s="15">
        <v>-0.1721</v>
      </c>
      <c r="O19" s="80">
        <v>0.74146000000000001</v>
      </c>
      <c r="X19" s="40">
        <v>-2</v>
      </c>
      <c r="Y19" s="37">
        <f>(X19-N19)/O19</f>
        <v>-2.4652712216437838</v>
      </c>
    </row>
    <row r="20" spans="1:35" ht="15">
      <c r="M20" s="79" t="s">
        <v>324</v>
      </c>
      <c r="N20" s="15">
        <v>0.33960000000000001</v>
      </c>
      <c r="O20" s="80">
        <v>0.88915</v>
      </c>
      <c r="X20" s="40">
        <v>1</v>
      </c>
      <c r="Y20" s="37">
        <f t="shared" si="0"/>
        <v>0.74273182252713266</v>
      </c>
    </row>
    <row r="21" spans="1:35" ht="15">
      <c r="M21" s="79" t="s">
        <v>325</v>
      </c>
      <c r="N21" s="15">
        <v>-0.18390000000000001</v>
      </c>
      <c r="O21" s="80">
        <v>0.85548000000000002</v>
      </c>
      <c r="X21" s="40">
        <v>-1</v>
      </c>
      <c r="Y21" s="37">
        <f t="shared" si="0"/>
        <v>-0.95396736335156873</v>
      </c>
    </row>
    <row r="22" spans="1:35" ht="15.75" thickBot="1">
      <c r="M22" s="81" t="s">
        <v>326</v>
      </c>
      <c r="N22" s="82">
        <v>0.24299999999999999</v>
      </c>
      <c r="O22" s="83">
        <v>0.85031000000000001</v>
      </c>
      <c r="X22" s="40">
        <v>2</v>
      </c>
      <c r="Y22" s="37">
        <f t="shared" si="0"/>
        <v>2.0663052298573463</v>
      </c>
    </row>
    <row r="23" spans="1:35">
      <c r="Y23" s="15"/>
    </row>
    <row r="24" spans="1:35">
      <c r="M24" s="2"/>
      <c r="N24" s="28"/>
      <c r="Y24" s="15"/>
    </row>
    <row r="25" spans="1:35">
      <c r="Y25" s="15"/>
    </row>
    <row r="26" spans="1:35">
      <c r="A26" s="25" t="s">
        <v>337</v>
      </c>
      <c r="B26" s="25"/>
      <c r="C26" s="25"/>
      <c r="D26" s="25"/>
      <c r="E26" s="25"/>
      <c r="F26" s="25"/>
      <c r="G26" s="25"/>
      <c r="H26" s="25"/>
      <c r="I26" s="25"/>
      <c r="J26" s="25"/>
      <c r="Y26" s="15"/>
    </row>
    <row r="27" spans="1:35">
      <c r="A27" s="25" t="s">
        <v>338</v>
      </c>
      <c r="B27" s="25"/>
      <c r="C27" s="25"/>
      <c r="D27" s="25"/>
      <c r="E27" s="25"/>
      <c r="F27" s="25"/>
      <c r="G27" s="25"/>
      <c r="H27" s="25"/>
      <c r="I27" s="25"/>
      <c r="J27" s="25"/>
      <c r="Y27" s="15"/>
    </row>
    <row r="28" spans="1:35">
      <c r="A28" s="25" t="s">
        <v>337</v>
      </c>
      <c r="B28" s="25"/>
      <c r="C28" s="25"/>
      <c r="D28" s="25"/>
      <c r="E28" s="25"/>
      <c r="F28" s="25"/>
      <c r="G28" s="25"/>
      <c r="H28" s="25"/>
      <c r="I28" s="25"/>
      <c r="J28" s="25"/>
      <c r="Y28" s="15"/>
    </row>
    <row r="29" spans="1:35">
      <c r="A29" s="25" t="s">
        <v>339</v>
      </c>
      <c r="B29" s="25"/>
      <c r="C29" s="25"/>
      <c r="D29" s="25"/>
      <c r="E29" s="25"/>
      <c r="F29" s="25"/>
      <c r="G29" s="25"/>
      <c r="H29" s="25"/>
      <c r="I29" s="25"/>
      <c r="J29" s="25"/>
      <c r="Y29" s="15"/>
    </row>
    <row r="30" spans="1:35" ht="15" thickBot="1">
      <c r="A30" s="25" t="s">
        <v>340</v>
      </c>
      <c r="B30" s="25"/>
      <c r="C30" s="25"/>
      <c r="D30" s="25"/>
      <c r="E30" s="25"/>
      <c r="F30" s="25"/>
      <c r="G30" s="25"/>
      <c r="H30" s="25"/>
      <c r="I30" s="25"/>
      <c r="J30" s="25"/>
      <c r="Y30" s="15"/>
    </row>
    <row r="31" spans="1:35">
      <c r="A31" s="25" t="s">
        <v>341</v>
      </c>
      <c r="B31" s="25"/>
      <c r="C31" s="25"/>
      <c r="D31" s="25"/>
      <c r="E31" s="25"/>
      <c r="F31" s="25"/>
      <c r="G31" s="25"/>
      <c r="H31" s="25"/>
      <c r="I31" s="25"/>
      <c r="J31" s="25"/>
      <c r="K31" s="18"/>
      <c r="L31" s="19"/>
      <c r="M31" s="19" t="s">
        <v>172</v>
      </c>
      <c r="N31" s="19" t="s">
        <v>173</v>
      </c>
      <c r="O31" s="19" t="s">
        <v>174</v>
      </c>
      <c r="P31" s="19" t="s">
        <v>175</v>
      </c>
      <c r="Q31" s="19" t="s">
        <v>176</v>
      </c>
      <c r="R31" s="19" t="s">
        <v>177</v>
      </c>
      <c r="S31" s="19" t="s">
        <v>178</v>
      </c>
      <c r="T31" s="19" t="s">
        <v>179</v>
      </c>
      <c r="U31" s="19" t="s">
        <v>180</v>
      </c>
      <c r="V31" s="20" t="s">
        <v>181</v>
      </c>
      <c r="Y31" s="37"/>
      <c r="Z31" t="s">
        <v>172</v>
      </c>
      <c r="AA31" t="s">
        <v>173</v>
      </c>
      <c r="AB31" t="s">
        <v>174</v>
      </c>
      <c r="AC31" t="s">
        <v>175</v>
      </c>
      <c r="AD31" t="s">
        <v>176</v>
      </c>
      <c r="AE31" t="s">
        <v>177</v>
      </c>
      <c r="AF31" t="s">
        <v>178</v>
      </c>
      <c r="AG31" t="s">
        <v>179</v>
      </c>
      <c r="AH31" t="s">
        <v>180</v>
      </c>
      <c r="AI31" t="s">
        <v>181</v>
      </c>
    </row>
    <row r="32" spans="1:35">
      <c r="A32" s="25" t="s">
        <v>342</v>
      </c>
      <c r="B32" s="25"/>
      <c r="C32" s="25"/>
      <c r="D32" s="25"/>
      <c r="E32" s="25"/>
      <c r="F32" s="25"/>
      <c r="G32" s="25"/>
      <c r="H32" s="25"/>
      <c r="I32" s="25"/>
      <c r="J32" s="25"/>
      <c r="K32" s="21"/>
      <c r="M32">
        <v>1</v>
      </c>
      <c r="N32">
        <v>2</v>
      </c>
      <c r="O32">
        <v>3</v>
      </c>
      <c r="P32">
        <v>4</v>
      </c>
      <c r="Q32">
        <v>5</v>
      </c>
      <c r="R32">
        <v>6</v>
      </c>
      <c r="S32">
        <v>7</v>
      </c>
      <c r="T32">
        <v>8</v>
      </c>
      <c r="U32">
        <v>9</v>
      </c>
      <c r="V32" s="22">
        <v>10</v>
      </c>
      <c r="Y32" s="38" t="s">
        <v>330</v>
      </c>
      <c r="Z32" s="33" t="s">
        <v>343</v>
      </c>
    </row>
    <row r="33" spans="1:38" ht="15">
      <c r="A33" s="25" t="s">
        <v>344</v>
      </c>
      <c r="B33" s="25"/>
      <c r="C33" s="25"/>
      <c r="D33" s="25"/>
      <c r="E33" s="25"/>
      <c r="F33" s="25"/>
      <c r="G33" s="25"/>
      <c r="H33" s="25"/>
      <c r="I33" s="25"/>
      <c r="J33" s="25"/>
      <c r="K33" s="21" t="s">
        <v>206</v>
      </c>
      <c r="L33" t="s">
        <v>92</v>
      </c>
      <c r="M33" s="7">
        <v>-0.12609999999999999</v>
      </c>
      <c r="N33" s="7">
        <v>-0.40510000000000002</v>
      </c>
      <c r="O33" s="7">
        <v>1.02234</v>
      </c>
      <c r="P33" s="7">
        <v>0.58465</v>
      </c>
      <c r="Q33" s="7">
        <v>-1.2500199999999999</v>
      </c>
      <c r="R33" s="7">
        <v>0.82372999999999996</v>
      </c>
      <c r="S33" s="7">
        <v>-0.62919999999999998</v>
      </c>
      <c r="T33" s="7">
        <v>-1.1851400000000001</v>
      </c>
      <c r="U33" s="7">
        <v>-0.80391999999999997</v>
      </c>
      <c r="V33" s="84">
        <v>0.20713999999999999</v>
      </c>
      <c r="Y33" s="37">
        <v>0.83509781474464828</v>
      </c>
      <c r="Z33" s="31">
        <f>($Y33-M33)^2</f>
        <v>0.92390123906988719</v>
      </c>
      <c r="AA33" s="31">
        <f>($Y33-N33)^2</f>
        <v>1.5380906196974014</v>
      </c>
      <c r="AB33" s="31">
        <f t="shared" ref="AB33:AI44" si="1">($Y33-O33)^2</f>
        <v>3.505963593919946E-2</v>
      </c>
      <c r="AC33" s="31">
        <f t="shared" si="1"/>
        <v>6.272410791036967E-2</v>
      </c>
      <c r="AD33" s="31">
        <f t="shared" si="1"/>
        <v>4.3477163013654962</v>
      </c>
      <c r="AE33" s="31">
        <f t="shared" si="1"/>
        <v>1.2922721206864372E-4</v>
      </c>
      <c r="AF33" s="31">
        <f t="shared" si="1"/>
        <v>2.1441680902659526</v>
      </c>
      <c r="AG33" s="31">
        <f t="shared" si="1"/>
        <v>4.0813608281242324</v>
      </c>
      <c r="AH33" s="31">
        <f t="shared" si="1"/>
        <v>2.6863793970503216</v>
      </c>
      <c r="AI33" s="31">
        <f t="shared" si="1"/>
        <v>0.39433101709887403</v>
      </c>
      <c r="AJ33" s="31"/>
      <c r="AK33" s="31"/>
      <c r="AL33" s="31"/>
    </row>
    <row r="34" spans="1:38" ht="15">
      <c r="A34" s="25" t="s">
        <v>345</v>
      </c>
      <c r="B34" s="25"/>
      <c r="C34" s="25"/>
      <c r="D34" s="25"/>
      <c r="E34" s="25"/>
      <c r="F34" s="25"/>
      <c r="G34" s="25"/>
      <c r="H34" s="25"/>
      <c r="I34" s="25"/>
      <c r="J34" s="25"/>
      <c r="K34" s="21" t="s">
        <v>215</v>
      </c>
      <c r="L34" t="s">
        <v>93</v>
      </c>
      <c r="M34" s="7">
        <v>-0.19506000000000001</v>
      </c>
      <c r="N34" s="7">
        <v>-0.46396999999999999</v>
      </c>
      <c r="O34" s="7">
        <v>-1.0748200000000001</v>
      </c>
      <c r="P34" s="7">
        <v>0.14555999999999999</v>
      </c>
      <c r="Q34" s="7">
        <v>1.0680099999999999</v>
      </c>
      <c r="R34" s="7">
        <v>-0.42514000000000002</v>
      </c>
      <c r="S34" s="7">
        <v>0.37386000000000003</v>
      </c>
      <c r="T34" s="7">
        <v>1.31134</v>
      </c>
      <c r="U34" s="7">
        <v>0.51100000000000001</v>
      </c>
      <c r="V34" s="84">
        <v>-0.28626000000000001</v>
      </c>
      <c r="Y34" s="37">
        <v>-1.015933617284223</v>
      </c>
      <c r="Z34" s="31">
        <f t="shared" ref="Z34:AA44" si="2">($Y34-M34)^2</f>
        <v>0.67383349555328509</v>
      </c>
      <c r="AA34" s="31">
        <f t="shared" si="2"/>
        <v>0.30466383480548426</v>
      </c>
      <c r="AB34" s="31">
        <f t="shared" si="1"/>
        <v>3.4676060693489678E-3</v>
      </c>
      <c r="AC34" s="31">
        <f t="shared" si="1"/>
        <v>1.349067422991989</v>
      </c>
      <c r="AD34" s="31">
        <f t="shared" si="1"/>
        <v>4.3428210000196517</v>
      </c>
      <c r="AE34" s="31">
        <f t="shared" si="1"/>
        <v>0.34903709822377693</v>
      </c>
      <c r="AF34" s="31">
        <f t="shared" si="1"/>
        <v>1.9315262986439656</v>
      </c>
      <c r="AG34" s="31">
        <f t="shared" si="1"/>
        <v>5.4162024897071914</v>
      </c>
      <c r="AH34" s="31">
        <f t="shared" si="1"/>
        <v>2.3315262715926819</v>
      </c>
      <c r="AI34" s="31">
        <f t="shared" si="1"/>
        <v>0.53242358776064291</v>
      </c>
      <c r="AJ34" s="31"/>
      <c r="AK34" s="31"/>
      <c r="AL34" s="31"/>
    </row>
    <row r="35" spans="1:38" ht="15">
      <c r="A35" s="25" t="s">
        <v>346</v>
      </c>
      <c r="B35" s="25"/>
      <c r="C35" s="25"/>
      <c r="D35" s="25"/>
      <c r="E35" s="25"/>
      <c r="F35" s="25"/>
      <c r="G35" s="25"/>
      <c r="H35" s="25"/>
      <c r="I35" s="25"/>
      <c r="J35" s="25"/>
      <c r="K35" s="21" t="s">
        <v>207</v>
      </c>
      <c r="L35" t="s">
        <v>94</v>
      </c>
      <c r="M35" s="7">
        <v>0.85224</v>
      </c>
      <c r="N35" s="7">
        <v>-0.53113999999999995</v>
      </c>
      <c r="O35" s="7">
        <v>-0.78602000000000005</v>
      </c>
      <c r="P35" s="7">
        <v>-0.72724</v>
      </c>
      <c r="Q35" s="7">
        <v>1.07565</v>
      </c>
      <c r="R35" s="7">
        <v>-0.51893999999999996</v>
      </c>
      <c r="S35" s="7">
        <v>-0.60455000000000003</v>
      </c>
      <c r="T35" s="7">
        <v>0.61219000000000001</v>
      </c>
      <c r="U35" s="7">
        <v>0.99073999999999995</v>
      </c>
      <c r="V35" s="84">
        <v>-0.4556</v>
      </c>
      <c r="Y35" s="37">
        <v>-0.12947185168959038</v>
      </c>
      <c r="Z35" s="31">
        <f t="shared" si="2"/>
        <v>0.96375815974780432</v>
      </c>
      <c r="AA35" s="31">
        <f t="shared" si="2"/>
        <v>0.16133730136711316</v>
      </c>
      <c r="AB35" s="31">
        <f t="shared" si="1"/>
        <v>0.43105547104982767</v>
      </c>
      <c r="AC35" s="31">
        <f t="shared" si="1"/>
        <v>0.35732675913445583</v>
      </c>
      <c r="AD35" s="31">
        <f t="shared" si="1"/>
        <v>1.452318677419747</v>
      </c>
      <c r="AE35" s="31">
        <f t="shared" si="1"/>
        <v>0.15168543854833916</v>
      </c>
      <c r="AF35" s="31">
        <f t="shared" si="1"/>
        <v>0.22569924700204755</v>
      </c>
      <c r="AG35" s="31">
        <f t="shared" si="1"/>
        <v>0.550062302251632</v>
      </c>
      <c r="AH35" s="31">
        <f t="shared" si="1"/>
        <v>1.2548745926658205</v>
      </c>
      <c r="AI35" s="31">
        <f t="shared" si="1"/>
        <v>0.10635956912037652</v>
      </c>
      <c r="AJ35" s="31"/>
      <c r="AK35" s="31"/>
      <c r="AL35" s="31"/>
    </row>
    <row r="36" spans="1:38" ht="15">
      <c r="A36" s="25" t="s">
        <v>347</v>
      </c>
      <c r="B36" s="25"/>
      <c r="C36" s="25"/>
      <c r="D36" s="25"/>
      <c r="E36" s="25"/>
      <c r="F36" s="25"/>
      <c r="G36" s="25"/>
      <c r="H36" s="25"/>
      <c r="I36" s="25"/>
      <c r="J36" s="25"/>
      <c r="K36" s="21" t="s">
        <v>216</v>
      </c>
      <c r="L36" t="s">
        <v>95</v>
      </c>
      <c r="M36" s="7">
        <v>0.62878000000000001</v>
      </c>
      <c r="N36" s="7">
        <v>0.34974</v>
      </c>
      <c r="O36" s="7">
        <v>2.367E-2</v>
      </c>
      <c r="P36" s="7">
        <v>-1.1360399999999999</v>
      </c>
      <c r="Q36" s="7">
        <v>1.18021</v>
      </c>
      <c r="R36" s="7">
        <v>-0.62365000000000004</v>
      </c>
      <c r="S36" s="7">
        <v>0.62733000000000005</v>
      </c>
      <c r="T36" s="7">
        <v>-0.48681000000000002</v>
      </c>
      <c r="U36" s="7">
        <v>3.175E-2</v>
      </c>
      <c r="V36" s="84">
        <v>1.3977299999999999</v>
      </c>
      <c r="Y36" s="37">
        <v>3.002261029958647</v>
      </c>
      <c r="Z36" s="31">
        <f t="shared" si="2"/>
        <v>5.6334121995735602</v>
      </c>
      <c r="AA36" s="31">
        <f t="shared" si="2"/>
        <v>7.0358678143728808</v>
      </c>
      <c r="AB36" s="31">
        <f t="shared" si="1"/>
        <v>8.8720045237501122</v>
      </c>
      <c r="AC36" s="31">
        <f t="shared" si="1"/>
        <v>17.125535414556801</v>
      </c>
      <c r="AD36" s="31">
        <f t="shared" si="1"/>
        <v>3.3198699557733664</v>
      </c>
      <c r="AE36" s="31">
        <f t="shared" si="1"/>
        <v>13.147230797175776</v>
      </c>
      <c r="AF36" s="31">
        <f t="shared" si="1"/>
        <v>5.6402973970604391</v>
      </c>
      <c r="AG36" s="31">
        <f t="shared" si="1"/>
        <v>12.173616652096694</v>
      </c>
      <c r="AH36" s="31">
        <f t="shared" si="1"/>
        <v>8.8239357791059803</v>
      </c>
      <c r="AI36" s="31">
        <f t="shared" si="1"/>
        <v>2.5745198261001567</v>
      </c>
      <c r="AJ36" s="31"/>
      <c r="AK36" s="31"/>
      <c r="AL36" s="31"/>
    </row>
    <row r="37" spans="1:38" ht="15">
      <c r="A37" s="25" t="s">
        <v>348</v>
      </c>
      <c r="B37" s="25"/>
      <c r="C37" s="25"/>
      <c r="D37" s="25"/>
      <c r="E37" s="25"/>
      <c r="F37" s="25"/>
      <c r="G37" s="25"/>
      <c r="H37" s="25"/>
      <c r="I37" s="25"/>
      <c r="J37" s="25"/>
      <c r="K37" s="21" t="s">
        <v>208</v>
      </c>
      <c r="L37" t="s">
        <v>96</v>
      </c>
      <c r="M37" s="7">
        <v>-0.95869000000000004</v>
      </c>
      <c r="N37" s="7">
        <v>0.62692000000000003</v>
      </c>
      <c r="O37" s="7">
        <v>-0.88468999999999998</v>
      </c>
      <c r="P37" s="7">
        <v>1.1120000000000001</v>
      </c>
      <c r="Q37" s="7">
        <v>-0.14726</v>
      </c>
      <c r="R37" s="7">
        <v>-0.33019999999999999</v>
      </c>
      <c r="S37" s="7">
        <v>1.1871799999999999</v>
      </c>
      <c r="T37" s="7">
        <v>1.28464</v>
      </c>
      <c r="U37" s="7">
        <v>-0.15409999999999999</v>
      </c>
      <c r="V37" s="84">
        <v>-4.8710000000000003E-2</v>
      </c>
      <c r="Y37" s="37">
        <v>-0.72273168412921629</v>
      </c>
      <c r="Z37" s="31">
        <f t="shared" si="2"/>
        <v>5.567632682857656E-2</v>
      </c>
      <c r="AA37" s="31">
        <f t="shared" si="2"/>
        <v>1.8215596684728299</v>
      </c>
      <c r="AB37" s="31">
        <f t="shared" si="1"/>
        <v>2.6230496079700544E-2</v>
      </c>
      <c r="AC37" s="31">
        <f t="shared" si="1"/>
        <v>3.366240352747631</v>
      </c>
      <c r="AD37" s="31">
        <f t="shared" si="1"/>
        <v>0.33116765923451641</v>
      </c>
      <c r="AE37" s="31">
        <f t="shared" si="1"/>
        <v>0.15408112304531885</v>
      </c>
      <c r="AF37" s="31">
        <f t="shared" si="1"/>
        <v>3.6477626411732986</v>
      </c>
      <c r="AG37" s="31">
        <f t="shared" si="1"/>
        <v>4.0295410782437662</v>
      </c>
      <c r="AH37" s="31">
        <f t="shared" si="1"/>
        <v>0.32334199219562881</v>
      </c>
      <c r="AI37" s="31">
        <f t="shared" si="1"/>
        <v>0.45430523067638495</v>
      </c>
      <c r="AJ37" s="31"/>
      <c r="AK37" s="31"/>
      <c r="AL37" s="31"/>
    </row>
    <row r="38" spans="1:38" ht="15">
      <c r="A38" s="25" t="s">
        <v>349</v>
      </c>
      <c r="B38" s="25"/>
      <c r="C38" s="25"/>
      <c r="D38" s="25"/>
      <c r="E38" s="25"/>
      <c r="F38" s="25"/>
      <c r="G38" s="25"/>
      <c r="H38" s="25"/>
      <c r="I38" s="25"/>
      <c r="J38" s="25"/>
      <c r="K38" s="21" t="s">
        <v>242</v>
      </c>
      <c r="L38" t="s">
        <v>97</v>
      </c>
      <c r="M38" s="7">
        <v>0.77122000000000002</v>
      </c>
      <c r="N38" s="7">
        <v>-0.23771</v>
      </c>
      <c r="O38" s="7">
        <v>-0.31253999999999998</v>
      </c>
      <c r="P38" s="7">
        <v>-0.44362000000000001</v>
      </c>
      <c r="Q38" s="7">
        <v>0.59270999999999996</v>
      </c>
      <c r="R38" s="7">
        <v>-0.66739999999999999</v>
      </c>
      <c r="S38" s="7">
        <v>-0.19717000000000001</v>
      </c>
      <c r="T38" s="7">
        <v>0.5111</v>
      </c>
      <c r="U38" s="7">
        <v>0.79781999999999997</v>
      </c>
      <c r="V38" s="84">
        <v>-0.90837999999999997</v>
      </c>
      <c r="Y38" s="37">
        <v>7.442942926459771E-2</v>
      </c>
      <c r="Z38" s="31">
        <f t="shared" si="2"/>
        <v>0.48551709946576765</v>
      </c>
      <c r="AA38" s="31">
        <f t="shared" si="2"/>
        <v>9.7431023301628797E-2</v>
      </c>
      <c r="AB38" s="31">
        <f t="shared" si="1"/>
        <v>0.14974533918536848</v>
      </c>
      <c r="AC38" s="31">
        <f t="shared" si="1"/>
        <v>0.26837521116137547</v>
      </c>
      <c r="AD38" s="31">
        <f t="shared" si="1"/>
        <v>0.26861475000181428</v>
      </c>
      <c r="AE38" s="31">
        <f t="shared" si="1"/>
        <v>0.55031090212303879</v>
      </c>
      <c r="AF38" s="31">
        <f t="shared" si="1"/>
        <v>7.3766249976855228E-2</v>
      </c>
      <c r="AG38" s="31">
        <f t="shared" si="1"/>
        <v>0.19068118734638195</v>
      </c>
      <c r="AH38" s="31">
        <f t="shared" si="1"/>
        <v>0.52329391782889101</v>
      </c>
      <c r="AI38" s="31">
        <f t="shared" si="1"/>
        <v>0.96591437425140425</v>
      </c>
      <c r="AJ38" s="31"/>
      <c r="AK38" s="31"/>
      <c r="AL38" s="31"/>
    </row>
    <row r="39" spans="1:38" ht="15">
      <c r="A39" s="25" t="s">
        <v>350</v>
      </c>
      <c r="B39" s="25"/>
      <c r="C39" s="25"/>
      <c r="D39" s="25"/>
      <c r="E39" s="25"/>
      <c r="F39" s="25"/>
      <c r="G39" s="25"/>
      <c r="H39" s="25"/>
      <c r="I39" s="25"/>
      <c r="J39" s="25"/>
      <c r="K39" s="21" t="s">
        <v>209</v>
      </c>
      <c r="L39" t="s">
        <v>98</v>
      </c>
      <c r="M39" s="7">
        <v>-0.82889999999999997</v>
      </c>
      <c r="N39" s="7">
        <v>1.34097</v>
      </c>
      <c r="O39" s="7">
        <v>-0.85389999999999999</v>
      </c>
      <c r="P39" s="7">
        <v>6.4869999999999997E-2</v>
      </c>
      <c r="Q39" s="7">
        <v>7.3270000000000002E-2</v>
      </c>
      <c r="R39" s="7">
        <v>4.4569999999999999E-2</v>
      </c>
      <c r="S39" s="7">
        <v>4.9889999999999997E-2</v>
      </c>
      <c r="T39" s="7">
        <v>0.86504999999999999</v>
      </c>
      <c r="U39" s="7">
        <v>0.46422999999999998</v>
      </c>
      <c r="V39" s="84">
        <v>-0.39129999999999998</v>
      </c>
      <c r="Y39" s="37">
        <v>1.4375622953153924</v>
      </c>
      <c r="Z39" s="31">
        <f t="shared" si="2"/>
        <v>5.1368513360863171</v>
      </c>
      <c r="AA39" s="31">
        <f t="shared" si="2"/>
        <v>9.3300715142959709E-3</v>
      </c>
      <c r="AB39" s="31">
        <f t="shared" si="1"/>
        <v>5.2507994508520861</v>
      </c>
      <c r="AC39" s="31">
        <f t="shared" si="1"/>
        <v>1.8842841376182404</v>
      </c>
      <c r="AD39" s="31">
        <f t="shared" si="1"/>
        <v>1.8612934670569419</v>
      </c>
      <c r="AE39" s="31">
        <f t="shared" si="1"/>
        <v>1.9404275348080453</v>
      </c>
      <c r="AF39" s="31">
        <f t="shared" si="1"/>
        <v>1.9256343991858895</v>
      </c>
      <c r="AG39" s="31">
        <f t="shared" si="1"/>
        <v>0.32777032828729907</v>
      </c>
      <c r="AH39" s="31">
        <f t="shared" si="1"/>
        <v>0.94737575710393029</v>
      </c>
      <c r="AI39" s="31">
        <f t="shared" si="1"/>
        <v>3.3447372952262855</v>
      </c>
      <c r="AJ39" s="31"/>
      <c r="AK39" s="31"/>
      <c r="AL39" s="31"/>
    </row>
    <row r="40" spans="1:38" ht="15">
      <c r="A40" s="25" t="s">
        <v>351</v>
      </c>
      <c r="B40" s="25"/>
      <c r="C40" s="25"/>
      <c r="D40" s="25"/>
      <c r="E40" s="25"/>
      <c r="F40" s="25"/>
      <c r="G40" s="25"/>
      <c r="H40" s="25"/>
      <c r="I40" s="25"/>
      <c r="J40" s="25"/>
      <c r="K40" s="21" t="s">
        <v>217</v>
      </c>
      <c r="L40" t="s">
        <v>99</v>
      </c>
      <c r="M40" s="7">
        <v>-0.57842000000000005</v>
      </c>
      <c r="N40" s="7">
        <v>0.64731000000000005</v>
      </c>
      <c r="O40" s="7">
        <v>-0.60104000000000002</v>
      </c>
      <c r="P40" s="7">
        <v>0.51283999999999996</v>
      </c>
      <c r="Q40" s="7">
        <v>-0.68959000000000004</v>
      </c>
      <c r="R40" s="10">
        <v>0.60399000000000003</v>
      </c>
      <c r="S40" s="7">
        <v>-1.59188</v>
      </c>
      <c r="T40" s="7">
        <v>0.65871000000000002</v>
      </c>
      <c r="U40" s="7">
        <v>0.60799999999999998</v>
      </c>
      <c r="V40" s="84">
        <v>-1.36486</v>
      </c>
      <c r="Y40" s="37">
        <v>-0.26100374929173348</v>
      </c>
      <c r="Z40" s="31">
        <f t="shared" si="2"/>
        <v>0.10075307621369313</v>
      </c>
      <c r="AA40" s="31">
        <f t="shared" si="2"/>
        <v>0.82503386715240601</v>
      </c>
      <c r="AB40" s="31">
        <f t="shared" si="1"/>
        <v>0.1156246517957351</v>
      </c>
      <c r="AC40" s="31">
        <f t="shared" si="1"/>
        <v>0.59883414831788706</v>
      </c>
      <c r="AD40" s="31">
        <f t="shared" si="1"/>
        <v>0.18368617429616912</v>
      </c>
      <c r="AE40" s="31">
        <f t="shared" si="1"/>
        <v>0.74821418631377024</v>
      </c>
      <c r="AF40" s="31">
        <f t="shared" si="1"/>
        <v>1.7712315946992927</v>
      </c>
      <c r="AG40" s="31">
        <f t="shared" si="1"/>
        <v>0.84587338063625772</v>
      </c>
      <c r="AH40" s="31">
        <f t="shared" si="1"/>
        <v>0.75516751628309009</v>
      </c>
      <c r="AI40" s="31">
        <f t="shared" si="1"/>
        <v>1.2184986222277114</v>
      </c>
      <c r="AJ40" s="31"/>
      <c r="AK40" s="31"/>
      <c r="AL40" s="31"/>
    </row>
    <row r="41" spans="1:38" ht="15">
      <c r="A41" s="25" t="s">
        <v>348</v>
      </c>
      <c r="B41" s="25"/>
      <c r="C41" s="25"/>
      <c r="D41" s="25"/>
      <c r="E41" s="25"/>
      <c r="F41" s="25"/>
      <c r="G41" s="25"/>
      <c r="H41" s="25"/>
      <c r="I41" s="25"/>
      <c r="J41" s="25"/>
      <c r="K41" s="21" t="s">
        <v>236</v>
      </c>
      <c r="L41" t="s">
        <v>100</v>
      </c>
      <c r="M41" s="7">
        <v>-0.36864999999999998</v>
      </c>
      <c r="N41" s="7">
        <v>0.16667000000000001</v>
      </c>
      <c r="O41" s="7">
        <v>-0.22570999999999999</v>
      </c>
      <c r="P41" s="7">
        <v>0.94960999999999995</v>
      </c>
      <c r="Q41" s="7">
        <v>0.12970999999999999</v>
      </c>
      <c r="R41" s="7">
        <v>-0.72424999999999995</v>
      </c>
      <c r="S41" s="7">
        <v>2.0912500000000001</v>
      </c>
      <c r="T41" s="7">
        <v>0.52634999999999998</v>
      </c>
      <c r="U41" s="7">
        <v>-0.34210000000000002</v>
      </c>
      <c r="V41" s="84">
        <v>-8.7120000000000003E-2</v>
      </c>
      <c r="Y41" s="37">
        <v>-2.4652712216437838</v>
      </c>
      <c r="Z41" s="31">
        <f t="shared" si="2"/>
        <v>4.3958205470470713</v>
      </c>
      <c r="AA41" s="31">
        <f t="shared" si="2"/>
        <v>6.9271145941877723</v>
      </c>
      <c r="AB41" s="31">
        <f t="shared" si="1"/>
        <v>5.0156344654905975</v>
      </c>
      <c r="AC41" s="31">
        <f t="shared" si="1"/>
        <v>11.661413757935341</v>
      </c>
      <c r="AD41" s="31">
        <f t="shared" si="1"/>
        <v>6.7339275406838652</v>
      </c>
      <c r="AE41" s="31">
        <f t="shared" si="1"/>
        <v>3.031154894214013</v>
      </c>
      <c r="AF41" s="31">
        <f t="shared" si="1"/>
        <v>20.761885643290164</v>
      </c>
      <c r="AG41" s="31">
        <f t="shared" si="1"/>
        <v>8.9497975337894449</v>
      </c>
      <c r="AH41" s="31">
        <f t="shared" si="1"/>
        <v>4.5078560364163582</v>
      </c>
      <c r="AI41" s="31">
        <f t="shared" si="1"/>
        <v>5.655603233005821</v>
      </c>
      <c r="AJ41" s="31"/>
      <c r="AK41" s="31"/>
      <c r="AL41" s="31"/>
    </row>
    <row r="42" spans="1:38" ht="15">
      <c r="A42" s="25" t="s">
        <v>352</v>
      </c>
      <c r="B42" s="25"/>
      <c r="C42" s="25"/>
      <c r="D42" s="25"/>
      <c r="E42" s="25"/>
      <c r="F42" s="25"/>
      <c r="G42" s="25"/>
      <c r="H42" s="25"/>
      <c r="I42" s="25"/>
      <c r="J42" s="25"/>
      <c r="K42" s="21" t="s">
        <v>224</v>
      </c>
      <c r="L42" t="s">
        <v>101</v>
      </c>
      <c r="M42" s="7">
        <v>1.02773</v>
      </c>
      <c r="N42" s="7">
        <v>-1.3314999999999999</v>
      </c>
      <c r="O42" s="7">
        <v>0.65958000000000006</v>
      </c>
      <c r="P42" s="7">
        <v>-0.99743000000000004</v>
      </c>
      <c r="Q42" s="7">
        <v>-7.4120000000000005E-2</v>
      </c>
      <c r="R42" s="7">
        <v>0.35569000000000001</v>
      </c>
      <c r="S42" s="7">
        <v>-1.5071300000000001</v>
      </c>
      <c r="T42" s="7">
        <v>-0.70520000000000005</v>
      </c>
      <c r="U42" s="7">
        <v>0.35966999999999999</v>
      </c>
      <c r="V42" s="84">
        <v>-0.22933000000000001</v>
      </c>
      <c r="Y42" s="37">
        <v>0.74273182252713266</v>
      </c>
      <c r="Z42" s="31">
        <f t="shared" si="2"/>
        <v>8.1223961162856004E-2</v>
      </c>
      <c r="AA42" s="31">
        <f t="shared" si="2"/>
        <v>4.3024376535842306</v>
      </c>
      <c r="AB42" s="31">
        <f t="shared" si="1"/>
        <v>6.9142255895837572E-3</v>
      </c>
      <c r="AC42" s="31">
        <f t="shared" si="1"/>
        <v>3.028163168580952</v>
      </c>
      <c r="AD42" s="31">
        <f t="shared" si="1"/>
        <v>0.66724689996589814</v>
      </c>
      <c r="AE42" s="31">
        <f t="shared" si="1"/>
        <v>0.14980137238512445</v>
      </c>
      <c r="AF42" s="31">
        <f t="shared" si="1"/>
        <v>5.0618782204651112</v>
      </c>
      <c r="AG42" s="31">
        <f t="shared" si="1"/>
        <v>2.0965065626867441</v>
      </c>
      <c r="AH42" s="31">
        <f t="shared" si="1"/>
        <v>0.14673635987780848</v>
      </c>
      <c r="AI42" s="31">
        <f t="shared" si="1"/>
        <v>0.94490418681477084</v>
      </c>
      <c r="AJ42" s="31"/>
      <c r="AK42" s="31"/>
      <c r="AL42" s="31"/>
    </row>
    <row r="43" spans="1:38" ht="15">
      <c r="A43" s="25" t="s">
        <v>353</v>
      </c>
      <c r="B43" s="25"/>
      <c r="C43" s="25"/>
      <c r="D43" s="25"/>
      <c r="E43" s="25"/>
      <c r="F43" s="25"/>
      <c r="G43" s="25"/>
      <c r="H43" s="25"/>
      <c r="I43" s="25"/>
      <c r="J43" s="25"/>
      <c r="K43" s="21" t="s">
        <v>230</v>
      </c>
      <c r="L43" t="s">
        <v>103</v>
      </c>
      <c r="M43" s="7">
        <v>0.48010000000000003</v>
      </c>
      <c r="N43" s="7">
        <v>0.21314</v>
      </c>
      <c r="O43" s="7">
        <v>0.86573</v>
      </c>
      <c r="P43" s="7">
        <v>-0.6825</v>
      </c>
      <c r="Q43" s="7">
        <v>0.54791999999999996</v>
      </c>
      <c r="R43" s="7">
        <v>-0.61611000000000005</v>
      </c>
      <c r="S43" s="7">
        <v>1.4875400000000001</v>
      </c>
      <c r="T43" s="7">
        <v>-0.94943999999999995</v>
      </c>
      <c r="U43" s="7">
        <v>-0.53529000000000004</v>
      </c>
      <c r="V43" s="84">
        <v>1.09175</v>
      </c>
      <c r="Y43" s="37">
        <v>-0.95396736335156873</v>
      </c>
      <c r="Z43" s="31">
        <f t="shared" si="2"/>
        <v>2.0565492026301206</v>
      </c>
      <c r="AA43" s="31">
        <f t="shared" si="2"/>
        <v>1.3621395975894506</v>
      </c>
      <c r="AB43" s="31">
        <f t="shared" si="1"/>
        <v>3.3112984941886512</v>
      </c>
      <c r="AC43" s="31">
        <f t="shared" si="1"/>
        <v>7.369452936505265E-2</v>
      </c>
      <c r="AD43" s="31">
        <f t="shared" si="1"/>
        <v>2.2556656521951273</v>
      </c>
      <c r="AE43" s="31">
        <f t="shared" si="1"/>
        <v>0.11414759797087391</v>
      </c>
      <c r="AF43" s="31">
        <f t="shared" si="1"/>
        <v>5.9609582052999297</v>
      </c>
      <c r="AG43" s="31">
        <f t="shared" si="1"/>
        <v>2.0497018917128101E-5</v>
      </c>
      <c r="AH43" s="31">
        <f t="shared" si="1"/>
        <v>0.17529073458302147</v>
      </c>
      <c r="AI43" s="31">
        <f t="shared" si="1"/>
        <v>4.1849595307180936</v>
      </c>
      <c r="AJ43" s="31"/>
      <c r="AK43" s="31"/>
      <c r="AL43" s="31"/>
    </row>
    <row r="44" spans="1:38" ht="15.75" thickBot="1">
      <c r="A44" s="25" t="s">
        <v>348</v>
      </c>
      <c r="B44" s="25"/>
      <c r="C44" s="25"/>
      <c r="D44" s="25"/>
      <c r="E44" s="25"/>
      <c r="F44" s="25"/>
      <c r="G44" s="25"/>
      <c r="H44" s="25"/>
      <c r="I44" s="25"/>
      <c r="J44" s="25"/>
      <c r="K44" s="23" t="s">
        <v>218</v>
      </c>
      <c r="L44" s="24" t="s">
        <v>106</v>
      </c>
      <c r="M44" s="85">
        <v>0.85616000000000003</v>
      </c>
      <c r="N44" s="85">
        <v>-0.78398999999999996</v>
      </c>
      <c r="O44" s="85">
        <v>0.89398999999999995</v>
      </c>
      <c r="P44" s="85">
        <v>-0.66896</v>
      </c>
      <c r="Q44" s="85">
        <v>-0.76510999999999996</v>
      </c>
      <c r="R44" s="85">
        <v>0.60853999999999997</v>
      </c>
      <c r="S44" s="85">
        <v>-1.9272499999999999</v>
      </c>
      <c r="T44" s="85">
        <v>-1.0239100000000001</v>
      </c>
      <c r="U44" s="85">
        <v>0.13247999999999999</v>
      </c>
      <c r="V44" s="86">
        <v>-0.23465</v>
      </c>
      <c r="Y44" s="70">
        <v>2.0663052298573463</v>
      </c>
      <c r="Z44" s="69">
        <f t="shared" si="2"/>
        <v>1.4644514773464894</v>
      </c>
      <c r="AA44" s="69">
        <f t="shared" si="2"/>
        <v>8.1241828973475432</v>
      </c>
      <c r="AB44" s="69">
        <f t="shared" si="1"/>
        <v>1.3743229981554825</v>
      </c>
      <c r="AC44" s="69">
        <f t="shared" si="1"/>
        <v>7.4816758776665626</v>
      </c>
      <c r="AD44" s="69">
        <f t="shared" si="1"/>
        <v>8.0169122038681291</v>
      </c>
      <c r="AE44" s="69">
        <f t="shared" si="1"/>
        <v>2.1250794653810416</v>
      </c>
      <c r="AF44" s="69">
        <f t="shared" si="1"/>
        <v>15.948483373920961</v>
      </c>
      <c r="AG44" s="69">
        <f t="shared" si="1"/>
        <v>9.5494301668422903</v>
      </c>
      <c r="AH44" s="69">
        <f t="shared" si="1"/>
        <v>3.7396800196328188</v>
      </c>
      <c r="AI44" s="69">
        <f t="shared" si="1"/>
        <v>5.2943949698078727</v>
      </c>
      <c r="AJ44" s="31"/>
      <c r="AK44" s="31"/>
      <c r="AL44" s="31"/>
    </row>
    <row r="45" spans="1:38">
      <c r="A45" s="25" t="s">
        <v>354</v>
      </c>
      <c r="B45" s="25"/>
      <c r="C45" s="25"/>
      <c r="D45" s="25"/>
      <c r="E45" s="25"/>
      <c r="F45" s="25"/>
      <c r="G45" s="25"/>
      <c r="H45" s="25"/>
      <c r="I45" s="25"/>
      <c r="J45" s="25"/>
      <c r="X45" s="30" t="s">
        <v>355</v>
      </c>
      <c r="Z45" s="49">
        <f>SUM(Z33:Z44)</f>
        <v>21.971748120725429</v>
      </c>
      <c r="AA45" s="32">
        <f>SUM(AA33:AA44)</f>
        <v>32.509188943393042</v>
      </c>
      <c r="AB45" s="32">
        <f t="shared" ref="AB45:AI45" si="3">SUM(AB33:AB44)</f>
        <v>24.592157358145691</v>
      </c>
      <c r="AC45" s="32">
        <f t="shared" si="3"/>
        <v>47.257334887986659</v>
      </c>
      <c r="AD45" s="32">
        <f t="shared" si="3"/>
        <v>33.781240281880727</v>
      </c>
      <c r="AE45" s="50">
        <f t="shared" si="3"/>
        <v>22.461299637401186</v>
      </c>
      <c r="AF45" s="32">
        <f t="shared" si="3"/>
        <v>65.093291360983912</v>
      </c>
      <c r="AG45" s="32">
        <f t="shared" si="3"/>
        <v>48.210863007030852</v>
      </c>
      <c r="AH45" s="32">
        <f t="shared" si="3"/>
        <v>26.21545837433635</v>
      </c>
      <c r="AI45" s="32">
        <f t="shared" si="3"/>
        <v>25.670951442808395</v>
      </c>
      <c r="AJ45" s="33"/>
      <c r="AK45" s="33"/>
      <c r="AL45" s="33"/>
    </row>
    <row r="46" spans="1:38">
      <c r="A46" s="25" t="s">
        <v>356</v>
      </c>
      <c r="B46" s="25"/>
      <c r="C46" s="25"/>
      <c r="D46" s="25"/>
      <c r="E46" s="25"/>
      <c r="F46" s="25"/>
      <c r="G46" s="25"/>
      <c r="H46" s="25"/>
      <c r="I46" s="25"/>
      <c r="J46" s="25"/>
      <c r="Z46" s="4">
        <f>1-($Z45/Z45)</f>
        <v>0</v>
      </c>
      <c r="AA46" s="4">
        <f t="shared" ref="AA46:AI46" si="4">1-($Z45/AA45)</f>
        <v>0.32413730287199838</v>
      </c>
      <c r="AB46" s="4">
        <f t="shared" si="4"/>
        <v>0.10655467103833816</v>
      </c>
      <c r="AC46" s="4">
        <f t="shared" si="4"/>
        <v>0.53506163280674357</v>
      </c>
      <c r="AD46" s="4">
        <f t="shared" si="4"/>
        <v>0.34958728757776147</v>
      </c>
      <c r="AE46" s="4">
        <f t="shared" si="4"/>
        <v>2.1795333510469916E-2</v>
      </c>
      <c r="AF46" s="4">
        <f t="shared" si="4"/>
        <v>0.66245756419232138</v>
      </c>
      <c r="AG46" s="4">
        <f t="shared" si="4"/>
        <v>0.54425731566926794</v>
      </c>
      <c r="AH46" s="4">
        <f t="shared" si="4"/>
        <v>0.16187816337269556</v>
      </c>
      <c r="AI46" s="4">
        <f t="shared" si="4"/>
        <v>0.14410074867401457</v>
      </c>
    </row>
    <row r="47" spans="1:38" ht="15.75">
      <c r="A47" s="25" t="s">
        <v>357</v>
      </c>
      <c r="B47" s="25"/>
      <c r="C47" s="25"/>
      <c r="D47" s="25"/>
      <c r="E47" s="25"/>
      <c r="F47" s="25"/>
      <c r="G47" s="25"/>
      <c r="H47" s="25"/>
      <c r="I47" s="25"/>
      <c r="J47" s="25"/>
      <c r="Y47" s="42" t="s">
        <v>169</v>
      </c>
      <c r="Z47" s="43">
        <f>MATCH(MIN(Z45:AI45),Z45:AI45,0)</f>
        <v>1</v>
      </c>
      <c r="AA47" s="44">
        <f>MIN(Z45:AI45)</f>
        <v>21.971748120725429</v>
      </c>
    </row>
    <row r="48" spans="1:38" ht="18" customHeight="1">
      <c r="A48" s="25" t="s">
        <v>358</v>
      </c>
      <c r="B48" s="25"/>
      <c r="C48" s="25"/>
      <c r="D48" s="27"/>
      <c r="E48" s="27"/>
      <c r="F48" s="25"/>
      <c r="G48" s="25"/>
      <c r="H48" s="25"/>
      <c r="I48" s="25"/>
      <c r="J48" s="67"/>
      <c r="Y48" s="45" t="s">
        <v>170</v>
      </c>
      <c r="Z48" s="46" cm="1">
        <f t="array" ref="Z48">MATCH(1, (Z45:AI45=SMALL(Z45:AI45,2))*1, 0)</f>
        <v>6</v>
      </c>
      <c r="AA48" s="47">
        <f>SMALL(Z45:AI45,2)</f>
        <v>22.461299637401186</v>
      </c>
    </row>
    <row r="49" spans="1:27" ht="15.75">
      <c r="A49" s="25" t="s">
        <v>348</v>
      </c>
      <c r="B49" s="25"/>
      <c r="C49" s="25"/>
      <c r="D49" s="25"/>
      <c r="E49" s="25"/>
      <c r="F49" s="25"/>
      <c r="G49" s="25"/>
      <c r="H49" s="25"/>
      <c r="I49" s="25"/>
      <c r="J49" s="25"/>
      <c r="Y49" s="51" t="s">
        <v>359</v>
      </c>
      <c r="Z49" s="52"/>
      <c r="AA49" s="53">
        <f>AA48/AA47</f>
        <v>1.0222809543412694</v>
      </c>
    </row>
    <row r="50" spans="1:27">
      <c r="A50" s="25" t="s">
        <v>360</v>
      </c>
      <c r="B50" s="25"/>
      <c r="C50" s="25"/>
      <c r="D50" s="25"/>
      <c r="E50" s="25"/>
      <c r="F50" s="25"/>
      <c r="G50" s="25"/>
      <c r="H50" s="25"/>
      <c r="I50" s="25"/>
      <c r="J50" s="25"/>
    </row>
    <row r="51" spans="1:27">
      <c r="A51" t="s">
        <v>361</v>
      </c>
      <c r="Y51" s="48" t="s">
        <v>362</v>
      </c>
    </row>
    <row r="52" spans="1:27">
      <c r="Y52" s="54" t="s">
        <v>363</v>
      </c>
    </row>
    <row r="53" spans="1:27">
      <c r="Y53" s="55" t="s">
        <v>364</v>
      </c>
    </row>
    <row r="54" spans="1:27" ht="15" thickBot="1">
      <c r="Y54" s="55"/>
    </row>
    <row r="55" spans="1:27">
      <c r="A55" t="s">
        <v>310</v>
      </c>
      <c r="B55" s="25"/>
      <c r="C55" s="25"/>
      <c r="D55" s="25"/>
      <c r="E55" s="25"/>
      <c r="F55" s="25"/>
      <c r="T55" s="58" t="s">
        <v>130</v>
      </c>
      <c r="U55" s="59" t="s">
        <v>132</v>
      </c>
      <c r="V55" s="60" t="s">
        <v>133</v>
      </c>
      <c r="W55" s="58" t="s">
        <v>54</v>
      </c>
      <c r="X55" s="60" t="s">
        <v>56</v>
      </c>
      <c r="Y55" s="64" t="s">
        <v>34</v>
      </c>
      <c r="Z55" s="64" t="s">
        <v>365</v>
      </c>
    </row>
    <row r="56" spans="1:27" ht="15" thickBot="1">
      <c r="A56" t="s">
        <v>311</v>
      </c>
      <c r="B56" s="25"/>
      <c r="C56" s="25"/>
      <c r="D56" s="25"/>
      <c r="E56" s="25"/>
      <c r="F56" s="25"/>
      <c r="L56" s="11" t="s">
        <v>128</v>
      </c>
      <c r="T56" s="61">
        <v>4</v>
      </c>
      <c r="U56" s="62">
        <v>5</v>
      </c>
      <c r="V56" s="63">
        <v>6</v>
      </c>
      <c r="W56" s="61">
        <v>2</v>
      </c>
      <c r="X56" s="63">
        <v>1</v>
      </c>
      <c r="Y56" s="65">
        <v>5</v>
      </c>
      <c r="Z56" s="65">
        <v>7</v>
      </c>
    </row>
    <row r="57" spans="1:27">
      <c r="A57" t="s">
        <v>310</v>
      </c>
      <c r="B57" s="25"/>
      <c r="C57" s="25"/>
      <c r="D57" s="25"/>
      <c r="E57" s="25"/>
      <c r="F57" s="25"/>
      <c r="L57" s="12" t="s">
        <v>129</v>
      </c>
      <c r="Y57" s="55"/>
    </row>
    <row r="58" spans="1:27">
      <c r="B58" s="25"/>
      <c r="C58" s="25"/>
      <c r="D58" s="25"/>
      <c r="E58" s="25"/>
      <c r="F58" s="25"/>
      <c r="L58" s="11" t="s">
        <v>134</v>
      </c>
      <c r="W58" t="s">
        <v>196</v>
      </c>
      <c r="Y58" s="35">
        <f>AVERAGE(T56:V56)</f>
        <v>5</v>
      </c>
    </row>
    <row r="59" spans="1:27">
      <c r="A59" t="s">
        <v>366</v>
      </c>
      <c r="B59" s="25"/>
      <c r="C59" s="25"/>
      <c r="D59" s="25"/>
      <c r="E59" s="25"/>
      <c r="F59" s="25"/>
      <c r="L59" s="12" t="s">
        <v>135</v>
      </c>
      <c r="W59" t="s">
        <v>197</v>
      </c>
      <c r="Y59" s="35">
        <f>AVERAGE(W56:X56)</f>
        <v>1.5</v>
      </c>
    </row>
    <row r="60" spans="1:27">
      <c r="A60" t="s">
        <v>367</v>
      </c>
      <c r="B60" s="25"/>
      <c r="C60" s="25"/>
      <c r="D60" s="25"/>
      <c r="E60" s="25"/>
      <c r="F60" s="25"/>
      <c r="L60" s="11" t="s">
        <v>137</v>
      </c>
      <c r="W60" t="s">
        <v>198</v>
      </c>
      <c r="Y60" s="35">
        <f>Y56</f>
        <v>5</v>
      </c>
    </row>
    <row r="61" spans="1:27">
      <c r="B61" s="25"/>
      <c r="C61" s="25"/>
      <c r="D61" s="25"/>
      <c r="E61" s="25"/>
      <c r="F61" s="25"/>
      <c r="L61" s="12" t="s">
        <v>139</v>
      </c>
      <c r="W61" t="s">
        <v>199</v>
      </c>
      <c r="Y61" s="35">
        <f>Z56</f>
        <v>7</v>
      </c>
    </row>
    <row r="62" spans="1:27">
      <c r="B62" s="25"/>
      <c r="C62" s="25"/>
      <c r="D62" s="25"/>
      <c r="E62" s="25"/>
      <c r="F62" s="25"/>
      <c r="L62" s="11" t="s">
        <v>140</v>
      </c>
    </row>
    <row r="63" spans="1:27">
      <c r="B63" s="25"/>
      <c r="C63" s="25"/>
      <c r="D63" s="25"/>
      <c r="E63" s="25"/>
      <c r="F63" s="25"/>
      <c r="L63" s="12" t="s">
        <v>141</v>
      </c>
    </row>
    <row r="64" spans="1:27">
      <c r="A64" t="s">
        <v>327</v>
      </c>
      <c r="B64" s="25"/>
      <c r="C64" s="25"/>
      <c r="D64" s="25"/>
      <c r="E64" s="25"/>
      <c r="F64" s="25"/>
      <c r="L64" s="56" t="s">
        <v>142</v>
      </c>
    </row>
    <row r="65" spans="1:36">
      <c r="B65" s="25"/>
      <c r="C65" s="25"/>
      <c r="D65" s="25"/>
      <c r="E65" s="25"/>
      <c r="F65" s="25"/>
    </row>
    <row r="66" spans="1:36">
      <c r="B66" s="25"/>
      <c r="C66" s="25"/>
      <c r="D66" s="25"/>
      <c r="E66" s="25"/>
      <c r="F66" s="25"/>
    </row>
    <row r="68" spans="1:36">
      <c r="A68" s="25" t="s">
        <v>337</v>
      </c>
      <c r="B68" s="25"/>
      <c r="C68" s="25"/>
      <c r="D68" s="25"/>
      <c r="E68" s="25"/>
      <c r="F68" s="25"/>
      <c r="G68" s="25"/>
      <c r="H68" s="25"/>
      <c r="I68" s="25"/>
      <c r="J68" s="25"/>
    </row>
    <row r="69" spans="1:36" ht="15" thickBot="1">
      <c r="A69" s="25" t="s">
        <v>368</v>
      </c>
      <c r="B69" s="25"/>
      <c r="C69" s="25"/>
      <c r="D69" s="25"/>
      <c r="E69" s="25"/>
      <c r="F69" s="25"/>
      <c r="G69" s="25"/>
      <c r="H69" s="25"/>
      <c r="I69" s="25"/>
      <c r="J69" s="25"/>
    </row>
    <row r="70" spans="1:36">
      <c r="A70" s="25" t="s">
        <v>337</v>
      </c>
      <c r="B70" s="25"/>
      <c r="C70" s="25"/>
      <c r="D70" s="25"/>
      <c r="E70" s="25"/>
      <c r="F70" s="25"/>
      <c r="G70" s="25"/>
      <c r="H70" s="25"/>
      <c r="I70" s="25"/>
      <c r="J70" s="25"/>
      <c r="L70" s="18" t="s">
        <v>264</v>
      </c>
      <c r="M70" s="19" t="s">
        <v>172</v>
      </c>
      <c r="N70" s="19" t="s">
        <v>173</v>
      </c>
      <c r="O70" s="19" t="s">
        <v>265</v>
      </c>
      <c r="P70" s="19" t="s">
        <v>175</v>
      </c>
      <c r="Q70" s="19" t="s">
        <v>176</v>
      </c>
      <c r="R70" s="19" t="s">
        <v>177</v>
      </c>
      <c r="S70" s="19" t="s">
        <v>178</v>
      </c>
      <c r="T70" s="19" t="s">
        <v>266</v>
      </c>
      <c r="U70" s="19" t="s">
        <v>180</v>
      </c>
      <c r="V70" s="20" t="s">
        <v>181</v>
      </c>
    </row>
    <row r="71" spans="1:36">
      <c r="A71" s="25" t="s">
        <v>369</v>
      </c>
      <c r="B71" s="25"/>
      <c r="C71" s="25"/>
      <c r="D71" s="25"/>
      <c r="E71" s="25"/>
      <c r="F71" s="25"/>
      <c r="G71" s="25"/>
      <c r="H71" s="25"/>
      <c r="I71" s="25"/>
      <c r="J71" s="25"/>
      <c r="L71" s="21"/>
      <c r="V71" s="22"/>
    </row>
    <row r="72" spans="1:36">
      <c r="A72" s="25" t="s">
        <v>348</v>
      </c>
      <c r="B72" s="25"/>
      <c r="C72" s="25"/>
      <c r="D72" s="25"/>
      <c r="E72" s="25"/>
      <c r="F72" s="25"/>
      <c r="G72" s="25"/>
      <c r="H72" s="25"/>
      <c r="I72" s="25"/>
      <c r="J72" s="25"/>
      <c r="L72" s="21" t="s">
        <v>184</v>
      </c>
      <c r="M72" s="5">
        <v>-0.38723393045133658</v>
      </c>
      <c r="N72" s="5">
        <v>-0.52493520688521467</v>
      </c>
      <c r="O72" s="5">
        <v>-1.9359476036866492</v>
      </c>
      <c r="P72" s="5">
        <v>-2.3928031491710402</v>
      </c>
      <c r="Q72" s="5">
        <v>-0.68480946471015536</v>
      </c>
      <c r="R72" s="5">
        <v>-1.3603121534539102</v>
      </c>
      <c r="S72" s="5">
        <v>-0.74424352441403696</v>
      </c>
      <c r="T72" t="s">
        <v>195</v>
      </c>
      <c r="U72" s="5">
        <v>-0.87487174583976113</v>
      </c>
      <c r="V72" s="87">
        <v>-1.8022690697265071</v>
      </c>
      <c r="Z72" s="15">
        <v>-0.38723393045133658</v>
      </c>
      <c r="AA72" s="15">
        <v>-0.52493520688521467</v>
      </c>
      <c r="AB72" s="15">
        <v>-1.9359476036866492</v>
      </c>
      <c r="AC72" s="15">
        <v>-2.3928031491710402</v>
      </c>
      <c r="AD72" s="15">
        <v>-0.68480946471015536</v>
      </c>
      <c r="AE72" s="15">
        <v>-1.3603121534539102</v>
      </c>
      <c r="AF72" s="15">
        <v>-0.74424352441403696</v>
      </c>
      <c r="AG72" s="15"/>
      <c r="AH72" s="15">
        <v>-0.87487174583976113</v>
      </c>
      <c r="AI72" s="15">
        <v>-1.8022690697265071</v>
      </c>
      <c r="AJ72" s="15"/>
    </row>
    <row r="73" spans="1:36">
      <c r="A73" s="25" t="s">
        <v>370</v>
      </c>
      <c r="B73" s="25"/>
      <c r="C73" s="25"/>
      <c r="D73" s="25"/>
      <c r="E73" s="25"/>
      <c r="F73" s="25"/>
      <c r="G73" s="25"/>
      <c r="H73" s="25"/>
      <c r="I73" s="25"/>
      <c r="J73" s="25"/>
      <c r="L73" s="21" t="s">
        <v>196</v>
      </c>
      <c r="M73" s="5">
        <v>0.56721940755344291</v>
      </c>
      <c r="N73" s="5">
        <v>0.28923351099807454</v>
      </c>
      <c r="O73" s="5">
        <v>0.8972736833262529</v>
      </c>
      <c r="P73" s="5">
        <v>0.30228393189333908</v>
      </c>
      <c r="Q73" s="5">
        <v>-8.3186224630843991E-2</v>
      </c>
      <c r="R73" s="5">
        <v>0.65066893516317748</v>
      </c>
      <c r="S73" s="5">
        <v>0.20001687121630818</v>
      </c>
      <c r="U73" s="5">
        <v>0.24349404365751201</v>
      </c>
      <c r="V73" s="87">
        <v>0.86542559081574888</v>
      </c>
      <c r="Y73" s="35">
        <v>5</v>
      </c>
      <c r="Z73" s="31">
        <f>$Y73*M73</f>
        <v>2.8360970377672148</v>
      </c>
      <c r="AA73" s="31">
        <f>$Y73*N73</f>
        <v>1.4461675549903728</v>
      </c>
      <c r="AB73" s="31">
        <f t="shared" ref="AB73:AI76" si="5">$Y73*O73</f>
        <v>4.4863684166312643</v>
      </c>
      <c r="AC73" s="31">
        <f t="shared" si="5"/>
        <v>1.5114196594666953</v>
      </c>
      <c r="AD73" s="31">
        <f t="shared" si="5"/>
        <v>-0.41593112315421998</v>
      </c>
      <c r="AE73" s="31">
        <f t="shared" si="5"/>
        <v>3.2533446758158875</v>
      </c>
      <c r="AF73" s="31">
        <f t="shared" si="5"/>
        <v>1.0000843560815409</v>
      </c>
      <c r="AG73" s="31">
        <f t="shared" si="5"/>
        <v>0</v>
      </c>
      <c r="AH73" s="31">
        <f t="shared" si="5"/>
        <v>1.2174702182875601</v>
      </c>
      <c r="AI73" s="31">
        <f t="shared" si="5"/>
        <v>4.327127954078744</v>
      </c>
      <c r="AJ73" s="15"/>
    </row>
    <row r="74" spans="1:36">
      <c r="A74" s="25" t="s">
        <v>371</v>
      </c>
      <c r="B74" s="25"/>
      <c r="C74" s="25"/>
      <c r="D74" s="25"/>
      <c r="E74" s="25"/>
      <c r="F74" s="25"/>
      <c r="G74" s="25"/>
      <c r="H74" s="25"/>
      <c r="I74" s="25"/>
      <c r="J74" s="25"/>
      <c r="L74" s="21" t="s">
        <v>197</v>
      </c>
      <c r="M74" s="5">
        <v>8.1960280841083949E-2</v>
      </c>
      <c r="N74" s="5">
        <v>0.10175176171097858</v>
      </c>
      <c r="O74" s="5">
        <v>-0.11873861209671466</v>
      </c>
      <c r="P74" s="5">
        <v>-5.2295972581845054E-2</v>
      </c>
      <c r="Q74" s="5">
        <v>0.5799338381932001</v>
      </c>
      <c r="R74" s="5">
        <v>-0.21621450930156186</v>
      </c>
      <c r="S74" s="5">
        <v>0.40007648925745548</v>
      </c>
      <c r="U74" s="5">
        <v>0.14516219548223452</v>
      </c>
      <c r="V74" s="87">
        <v>-0.10617888502495448</v>
      </c>
      <c r="Y74" s="35">
        <v>1.5</v>
      </c>
      <c r="Z74" s="31">
        <f t="shared" ref="Z74:AA76" si="6">$Y74*M74</f>
        <v>0.12294042126162592</v>
      </c>
      <c r="AA74" s="31">
        <f t="shared" si="6"/>
        <v>0.15262764256646788</v>
      </c>
      <c r="AB74" s="31">
        <f t="shared" si="5"/>
        <v>-0.17810791814507199</v>
      </c>
      <c r="AC74" s="31">
        <f t="shared" si="5"/>
        <v>-7.8443958872767588E-2</v>
      </c>
      <c r="AD74" s="31">
        <f t="shared" si="5"/>
        <v>0.8699007572898001</v>
      </c>
      <c r="AE74" s="31">
        <f t="shared" si="5"/>
        <v>-0.3243217639523428</v>
      </c>
      <c r="AF74" s="31">
        <f t="shared" si="5"/>
        <v>0.60011473388618319</v>
      </c>
      <c r="AG74" s="31">
        <f t="shared" si="5"/>
        <v>0</v>
      </c>
      <c r="AH74" s="31">
        <f t="shared" si="5"/>
        <v>0.21774329322335179</v>
      </c>
      <c r="AI74" s="31">
        <f t="shared" si="5"/>
        <v>-0.15926832753743173</v>
      </c>
      <c r="AJ74" s="15"/>
    </row>
    <row r="75" spans="1:36">
      <c r="A75" s="25" t="s">
        <v>348</v>
      </c>
      <c r="B75" s="25"/>
      <c r="C75" s="25"/>
      <c r="D75" s="25"/>
      <c r="E75" s="25"/>
      <c r="F75" s="25"/>
      <c r="G75" s="25"/>
      <c r="H75" s="25"/>
      <c r="I75" s="25"/>
      <c r="J75" s="25"/>
      <c r="L75" s="21" t="s">
        <v>198</v>
      </c>
      <c r="M75" s="5">
        <v>-0.45028155320828617</v>
      </c>
      <c r="N75" s="5">
        <v>-0.31931142283771002</v>
      </c>
      <c r="O75" s="5">
        <v>-0.43557905063624547</v>
      </c>
      <c r="P75" s="5">
        <v>0.17574389193804277</v>
      </c>
      <c r="Q75" s="5">
        <v>-0.31661896434437958</v>
      </c>
      <c r="R75" s="5">
        <v>-0.13406311330401652</v>
      </c>
      <c r="S75" s="5">
        <v>-0.43777996857220858</v>
      </c>
      <c r="U75" s="5">
        <v>-0.12724900305712078</v>
      </c>
      <c r="V75" s="87">
        <v>-0.41173826770088323</v>
      </c>
      <c r="Y75" s="35">
        <v>5</v>
      </c>
      <c r="Z75" s="31">
        <f t="shared" si="6"/>
        <v>-2.2514077660414307</v>
      </c>
      <c r="AA75" s="31">
        <f t="shared" si="6"/>
        <v>-1.5965571141885502</v>
      </c>
      <c r="AB75" s="31">
        <f t="shared" si="5"/>
        <v>-2.1778952531812275</v>
      </c>
      <c r="AC75" s="31">
        <f t="shared" si="5"/>
        <v>0.87871945969021381</v>
      </c>
      <c r="AD75" s="31">
        <f t="shared" si="5"/>
        <v>-1.5830948217218979</v>
      </c>
      <c r="AE75" s="31">
        <f t="shared" si="5"/>
        <v>-0.67031556652008262</v>
      </c>
      <c r="AF75" s="31">
        <f t="shared" si="5"/>
        <v>-2.1888998428610429</v>
      </c>
      <c r="AG75" s="31">
        <f t="shared" si="5"/>
        <v>0</v>
      </c>
      <c r="AH75" s="31">
        <f t="shared" si="5"/>
        <v>-0.63624501528560384</v>
      </c>
      <c r="AI75" s="31">
        <f t="shared" si="5"/>
        <v>-2.0586913385044161</v>
      </c>
      <c r="AJ75" s="15"/>
    </row>
    <row r="76" spans="1:36" ht="15" thickBot="1">
      <c r="A76" s="25" t="s">
        <v>372</v>
      </c>
      <c r="B76" s="25"/>
      <c r="C76" s="25"/>
      <c r="D76" s="25"/>
      <c r="E76" s="25"/>
      <c r="F76" s="25"/>
      <c r="G76" s="25"/>
      <c r="H76" s="25"/>
      <c r="I76" s="25"/>
      <c r="J76" s="25"/>
      <c r="L76" s="23" t="s">
        <v>199</v>
      </c>
      <c r="M76" s="88">
        <v>0.13086125387023131</v>
      </c>
      <c r="N76" s="88">
        <v>5.5059521317541542E-2</v>
      </c>
      <c r="O76" s="88">
        <v>0.26990951731301233</v>
      </c>
      <c r="P76" s="88">
        <v>8.7186685382501267E-2</v>
      </c>
      <c r="Q76" s="88">
        <v>-4.1216493805596638E-2</v>
      </c>
      <c r="R76" s="88">
        <v>0.22413891093727673</v>
      </c>
      <c r="S76" s="88">
        <v>1.2210153890026047E-2</v>
      </c>
      <c r="T76" s="24"/>
      <c r="U76" s="88">
        <v>5.5248392464937325E-2</v>
      </c>
      <c r="V76" s="89">
        <v>4.838392511813757E-2</v>
      </c>
      <c r="Y76" s="68">
        <v>7</v>
      </c>
      <c r="Z76" s="69">
        <f t="shared" si="6"/>
        <v>0.91602877709161923</v>
      </c>
      <c r="AA76" s="69">
        <f t="shared" si="6"/>
        <v>0.38541664922279079</v>
      </c>
      <c r="AB76" s="69">
        <f t="shared" si="5"/>
        <v>1.8893666211910862</v>
      </c>
      <c r="AC76" s="69">
        <f t="shared" si="5"/>
        <v>0.61030679767750884</v>
      </c>
      <c r="AD76" s="69">
        <f t="shared" si="5"/>
        <v>-0.28851545663917644</v>
      </c>
      <c r="AE76" s="69">
        <f t="shared" si="5"/>
        <v>1.5689723765609371</v>
      </c>
      <c r="AF76" s="69">
        <f t="shared" si="5"/>
        <v>8.5471077230182324E-2</v>
      </c>
      <c r="AG76" s="69">
        <f t="shared" si="5"/>
        <v>0</v>
      </c>
      <c r="AH76" s="69">
        <f t="shared" si="5"/>
        <v>0.38673874725456125</v>
      </c>
      <c r="AI76" s="69">
        <f t="shared" si="5"/>
        <v>0.33868747582696301</v>
      </c>
      <c r="AJ76" s="15"/>
    </row>
    <row r="77" spans="1:36" ht="18">
      <c r="A77" s="25" t="s">
        <v>373</v>
      </c>
      <c r="B77" s="25"/>
      <c r="C77" s="25"/>
      <c r="D77" s="25"/>
      <c r="E77" s="25"/>
      <c r="F77" s="25"/>
      <c r="G77" s="25"/>
      <c r="H77" s="25"/>
      <c r="I77" s="25"/>
      <c r="J77" s="25"/>
      <c r="Y77" s="66" t="s">
        <v>188</v>
      </c>
      <c r="Z77" s="31">
        <f>SUM(Z72:Z76)</f>
        <v>1.2364245396276927</v>
      </c>
      <c r="AA77" s="31">
        <f t="shared" ref="AA77:AI77" si="7">SUM(AA72:AA76)</f>
        <v>-0.13728047429413343</v>
      </c>
      <c r="AB77" s="31">
        <f t="shared" si="7"/>
        <v>2.0837842628094014</v>
      </c>
      <c r="AC77" s="31">
        <f t="shared" si="7"/>
        <v>0.52919880879061021</v>
      </c>
      <c r="AD77" s="31">
        <f t="shared" si="7"/>
        <v>-2.1024501089356495</v>
      </c>
      <c r="AE77" s="31">
        <f t="shared" si="7"/>
        <v>2.4673675684504888</v>
      </c>
      <c r="AF77" s="31">
        <f t="shared" si="7"/>
        <v>-1.2474732000771733</v>
      </c>
      <c r="AG77" s="31">
        <v>1</v>
      </c>
      <c r="AH77" s="31">
        <f t="shared" si="7"/>
        <v>0.31083549764010809</v>
      </c>
      <c r="AI77" s="31">
        <f t="shared" si="7"/>
        <v>0.64558669413735192</v>
      </c>
      <c r="AJ77" s="33"/>
    </row>
    <row r="78" spans="1:36" ht="15.75">
      <c r="A78" s="25" t="s">
        <v>348</v>
      </c>
      <c r="B78" s="25"/>
      <c r="C78" s="25"/>
      <c r="D78" s="25"/>
      <c r="E78" s="25"/>
      <c r="F78" s="25"/>
      <c r="G78" s="25"/>
      <c r="H78" s="25"/>
      <c r="I78" s="25"/>
      <c r="J78" s="25"/>
      <c r="Y78" s="34" t="s">
        <v>189</v>
      </c>
      <c r="Z78" s="31">
        <f>EXP(Z77)</f>
        <v>3.4432801175934733</v>
      </c>
      <c r="AA78" s="31">
        <f t="shared" ref="AA78:AI78" si="8">EXP(AA77)</f>
        <v>0.8717256951923541</v>
      </c>
      <c r="AB78" s="31">
        <f t="shared" si="8"/>
        <v>8.0348173152629041</v>
      </c>
      <c r="AC78" s="31">
        <f t="shared" si="8"/>
        <v>1.6975716841205137</v>
      </c>
      <c r="AD78" s="31">
        <f t="shared" si="8"/>
        <v>0.12215676391893074</v>
      </c>
      <c r="AE78" s="31">
        <f t="shared" si="8"/>
        <v>11.791365996621748</v>
      </c>
      <c r="AF78" s="31">
        <f t="shared" si="8"/>
        <v>0.2872296525557772</v>
      </c>
      <c r="AG78" s="31">
        <f t="shared" si="8"/>
        <v>2.7182818284590451</v>
      </c>
      <c r="AH78" s="31">
        <f t="shared" si="8"/>
        <v>1.3645647286038072</v>
      </c>
      <c r="AI78" s="31">
        <f t="shared" si="8"/>
        <v>1.9071055887819337</v>
      </c>
      <c r="AJ78" s="33">
        <f>SUM(Z78:AI78)</f>
        <v>32.238099371110486</v>
      </c>
    </row>
    <row r="79" spans="1:36" ht="18">
      <c r="A79" s="25" t="s">
        <v>374</v>
      </c>
      <c r="B79" s="25"/>
      <c r="C79" s="25"/>
      <c r="D79" s="25"/>
      <c r="E79" s="25"/>
      <c r="F79" s="25"/>
      <c r="G79" s="25"/>
      <c r="H79" s="25"/>
      <c r="I79" s="25"/>
      <c r="J79" s="25"/>
      <c r="Y79" s="71" t="s">
        <v>190</v>
      </c>
      <c r="Z79" s="72">
        <f>Z78/$AJ78</f>
        <v>0.10680778906833131</v>
      </c>
      <c r="AA79" s="72">
        <f t="shared" ref="AA79:AI79" si="9">AA78/$AJ78</f>
        <v>2.7040232277884633E-2</v>
      </c>
      <c r="AB79" s="75">
        <f t="shared" si="9"/>
        <v>0.24923359230237815</v>
      </c>
      <c r="AC79" s="72">
        <f t="shared" si="9"/>
        <v>5.2657312845240431E-2</v>
      </c>
      <c r="AD79" s="75">
        <f t="shared" si="9"/>
        <v>3.7892048942686435E-3</v>
      </c>
      <c r="AE79" s="74">
        <f t="shared" si="9"/>
        <v>0.36575872109843854</v>
      </c>
      <c r="AF79" s="72">
        <f t="shared" si="9"/>
        <v>8.90963357514718E-3</v>
      </c>
      <c r="AG79" s="72">
        <f t="shared" si="9"/>
        <v>8.431892330771143E-2</v>
      </c>
      <c r="AH79" s="72">
        <f t="shared" si="9"/>
        <v>4.2327704027943842E-2</v>
      </c>
      <c r="AI79" s="75">
        <f t="shared" si="9"/>
        <v>5.9156886602655841E-2</v>
      </c>
      <c r="AJ79" s="73"/>
    </row>
    <row r="80" spans="1:36">
      <c r="A80" s="25" t="s">
        <v>348</v>
      </c>
      <c r="B80" s="25"/>
      <c r="C80" s="25"/>
      <c r="D80" s="25"/>
      <c r="E80" s="25"/>
      <c r="F80" s="25"/>
      <c r="G80" s="25"/>
      <c r="H80" s="25"/>
      <c r="I80" s="25"/>
      <c r="J80" s="25"/>
    </row>
    <row r="81" spans="1:35">
      <c r="A81" s="25" t="s">
        <v>375</v>
      </c>
      <c r="B81" s="25"/>
      <c r="C81" s="25"/>
      <c r="D81" s="25"/>
      <c r="E81" s="25"/>
      <c r="F81" s="25"/>
      <c r="G81" s="25"/>
      <c r="H81" s="25"/>
      <c r="I81" s="25"/>
      <c r="J81" s="25"/>
    </row>
    <row r="82" spans="1:35">
      <c r="A82" s="25" t="s">
        <v>348</v>
      </c>
      <c r="B82" s="25"/>
      <c r="C82" s="25"/>
      <c r="D82" s="25"/>
      <c r="E82" s="25"/>
      <c r="F82" s="25"/>
      <c r="G82" s="25"/>
      <c r="H82" s="25"/>
      <c r="I82" s="25"/>
      <c r="J82" s="25"/>
    </row>
    <row r="83" spans="1:35">
      <c r="A83" s="25" t="s">
        <v>376</v>
      </c>
      <c r="B83" s="25"/>
      <c r="C83" s="25"/>
      <c r="D83" s="25"/>
      <c r="E83" s="25"/>
      <c r="F83" s="25"/>
      <c r="G83" s="25"/>
      <c r="H83" s="25"/>
      <c r="I83" s="25"/>
      <c r="J83" s="25"/>
    </row>
    <row r="84" spans="1:35">
      <c r="A84" s="25" t="s">
        <v>377</v>
      </c>
      <c r="B84" s="25"/>
      <c r="C84" s="25"/>
      <c r="D84" s="25"/>
      <c r="E84" s="25"/>
      <c r="F84" s="25"/>
      <c r="G84" s="25"/>
      <c r="H84" s="25"/>
      <c r="I84" s="25"/>
      <c r="J84" s="25"/>
    </row>
    <row r="85" spans="1:35">
      <c r="A85" s="25" t="s">
        <v>348</v>
      </c>
      <c r="B85" s="25"/>
      <c r="C85" s="25"/>
      <c r="D85" s="25"/>
      <c r="E85" s="25"/>
      <c r="F85" s="25"/>
      <c r="G85" s="25"/>
      <c r="H85" s="25"/>
      <c r="I85" s="25"/>
      <c r="J85" s="25"/>
    </row>
    <row r="86" spans="1:35">
      <c r="A86" s="25" t="s">
        <v>378</v>
      </c>
      <c r="B86" s="25"/>
      <c r="C86" s="25"/>
      <c r="D86" s="25"/>
      <c r="E86" s="25"/>
      <c r="F86" s="25"/>
      <c r="G86" s="25"/>
      <c r="H86" s="25"/>
      <c r="I86" s="25"/>
      <c r="J86" s="25"/>
    </row>
    <row r="87" spans="1:35">
      <c r="A87" s="25" t="s">
        <v>379</v>
      </c>
      <c r="B87" s="25"/>
      <c r="C87" s="25"/>
      <c r="D87" s="25"/>
      <c r="E87" s="25"/>
      <c r="F87" s="25"/>
      <c r="G87" s="25"/>
      <c r="H87" s="25"/>
      <c r="I87" s="25"/>
      <c r="J87" s="25"/>
    </row>
    <row r="88" spans="1:35">
      <c r="A88" t="s">
        <v>360</v>
      </c>
    </row>
    <row r="89" spans="1:35">
      <c r="A89" t="s">
        <v>361</v>
      </c>
    </row>
    <row r="90" spans="1:35">
      <c r="A90" t="s">
        <v>380</v>
      </c>
    </row>
    <row r="91" spans="1:35">
      <c r="A91" s="25" t="s">
        <v>337</v>
      </c>
      <c r="B91" s="25"/>
      <c r="C91" s="25"/>
      <c r="D91" s="25"/>
      <c r="E91" s="25"/>
      <c r="F91" s="25"/>
      <c r="G91" s="25"/>
      <c r="H91" s="25"/>
      <c r="I91" s="25"/>
      <c r="J91" s="25"/>
    </row>
    <row r="92" spans="1:35">
      <c r="A92" s="25" t="s">
        <v>381</v>
      </c>
      <c r="B92" s="25"/>
      <c r="C92" s="25"/>
      <c r="D92" s="25"/>
      <c r="E92" s="25"/>
      <c r="F92" s="25"/>
      <c r="G92" s="25"/>
      <c r="H92" s="25"/>
      <c r="I92" s="25"/>
      <c r="J92" s="25"/>
    </row>
    <row r="93" spans="1:35">
      <c r="A93" s="25" t="s">
        <v>337</v>
      </c>
      <c r="B93" s="25"/>
      <c r="C93" s="25"/>
      <c r="D93" s="25"/>
      <c r="E93" s="25"/>
      <c r="F93" s="25"/>
      <c r="G93" s="25"/>
      <c r="H93" s="25"/>
      <c r="I93" s="25"/>
      <c r="J93" s="25"/>
    </row>
    <row r="94" spans="1:35">
      <c r="A94" s="25" t="s">
        <v>348</v>
      </c>
      <c r="B94" s="25"/>
      <c r="C94" s="25"/>
      <c r="D94" s="25"/>
      <c r="E94" s="25"/>
      <c r="F94" s="25"/>
      <c r="G94" s="25"/>
      <c r="H94" s="25"/>
      <c r="I94" s="25"/>
      <c r="J94" s="25"/>
    </row>
    <row r="95" spans="1:35">
      <c r="A95" s="25" t="s">
        <v>382</v>
      </c>
      <c r="B95" s="25"/>
      <c r="C95" s="25"/>
      <c r="D95" s="25"/>
      <c r="E95" s="25"/>
      <c r="F95" s="25"/>
      <c r="G95" s="25"/>
      <c r="H95" s="25"/>
      <c r="I95" s="25"/>
      <c r="J95" s="25"/>
    </row>
    <row r="96" spans="1:35">
      <c r="A96" s="25" t="s">
        <v>348</v>
      </c>
      <c r="B96" s="25"/>
      <c r="C96" s="25"/>
      <c r="D96" s="25"/>
      <c r="E96" s="25"/>
      <c r="F96" s="25"/>
      <c r="G96" s="25"/>
      <c r="H96" s="25"/>
      <c r="I96" s="25"/>
      <c r="J96" s="25"/>
      <c r="X96" t="s">
        <v>383</v>
      </c>
      <c r="Z96">
        <f>RANK(Z45, $Z45:$AI45, 1)</f>
        <v>1</v>
      </c>
      <c r="AA96">
        <f t="shared" ref="AA96:AI96" si="10">RANK(AA45, $Z45:$AI45, 1)</f>
        <v>6</v>
      </c>
      <c r="AB96">
        <f t="shared" si="10"/>
        <v>3</v>
      </c>
      <c r="AC96">
        <f t="shared" si="10"/>
        <v>8</v>
      </c>
      <c r="AD96">
        <f t="shared" si="10"/>
        <v>7</v>
      </c>
      <c r="AE96">
        <f t="shared" si="10"/>
        <v>2</v>
      </c>
      <c r="AF96">
        <f t="shared" si="10"/>
        <v>10</v>
      </c>
      <c r="AG96">
        <f t="shared" si="10"/>
        <v>9</v>
      </c>
      <c r="AH96">
        <f t="shared" si="10"/>
        <v>5</v>
      </c>
      <c r="AI96">
        <f t="shared" si="10"/>
        <v>4</v>
      </c>
    </row>
    <row r="97" spans="1:35">
      <c r="A97" s="25" t="s">
        <v>384</v>
      </c>
      <c r="B97" s="25"/>
      <c r="C97" s="25"/>
      <c r="D97" s="25"/>
      <c r="E97" s="25"/>
      <c r="F97" s="25"/>
      <c r="G97" s="25"/>
      <c r="H97" s="25"/>
      <c r="I97" s="25"/>
      <c r="J97" s="25"/>
      <c r="X97" t="s">
        <v>385</v>
      </c>
      <c r="Z97">
        <f>RANK(Z79, $Z79:$AI79, 0)</f>
        <v>3</v>
      </c>
      <c r="AA97">
        <f t="shared" ref="AA97:AI97" si="11">RANK(AA79, $Z79:$AI79, 0)</f>
        <v>8</v>
      </c>
      <c r="AB97">
        <f t="shared" si="11"/>
        <v>2</v>
      </c>
      <c r="AC97">
        <f t="shared" si="11"/>
        <v>6</v>
      </c>
      <c r="AD97">
        <f t="shared" si="11"/>
        <v>10</v>
      </c>
      <c r="AE97">
        <f t="shared" si="11"/>
        <v>1</v>
      </c>
      <c r="AF97">
        <f t="shared" si="11"/>
        <v>9</v>
      </c>
      <c r="AG97">
        <f t="shared" si="11"/>
        <v>4</v>
      </c>
      <c r="AH97">
        <f t="shared" si="11"/>
        <v>7</v>
      </c>
      <c r="AI97">
        <f t="shared" si="11"/>
        <v>5</v>
      </c>
    </row>
    <row r="98" spans="1:35">
      <c r="A98" s="25" t="s">
        <v>348</v>
      </c>
      <c r="B98" s="25"/>
      <c r="C98" s="25"/>
      <c r="D98" s="25"/>
      <c r="E98" s="25"/>
      <c r="F98" s="25"/>
      <c r="G98" s="25"/>
      <c r="H98" s="25"/>
      <c r="I98" s="25"/>
      <c r="J98" s="25"/>
      <c r="X98" s="16" t="s">
        <v>386</v>
      </c>
      <c r="Z98" s="16">
        <f>SUM(Z96:Z97)</f>
        <v>4</v>
      </c>
      <c r="AA98" s="16">
        <f t="shared" ref="AA98:AI98" si="12">SUM(AA96:AA97)</f>
        <v>14</v>
      </c>
      <c r="AB98" s="16">
        <f t="shared" si="12"/>
        <v>5</v>
      </c>
      <c r="AC98" s="16">
        <f t="shared" si="12"/>
        <v>14</v>
      </c>
      <c r="AD98" s="16">
        <f t="shared" si="12"/>
        <v>17</v>
      </c>
      <c r="AE98" s="16">
        <f t="shared" si="12"/>
        <v>3</v>
      </c>
      <c r="AF98" s="16">
        <f t="shared" si="12"/>
        <v>19</v>
      </c>
      <c r="AG98" s="16">
        <f t="shared" si="12"/>
        <v>13</v>
      </c>
      <c r="AH98" s="16">
        <f t="shared" si="12"/>
        <v>12</v>
      </c>
      <c r="AI98" s="16">
        <f t="shared" si="12"/>
        <v>9</v>
      </c>
    </row>
    <row r="99" spans="1:35">
      <c r="A99" s="25" t="s">
        <v>387</v>
      </c>
      <c r="B99" s="25"/>
      <c r="C99" s="25"/>
      <c r="D99" s="25"/>
      <c r="E99" s="25"/>
      <c r="F99" s="25"/>
      <c r="G99" s="25"/>
      <c r="H99" s="25"/>
      <c r="I99" s="25"/>
      <c r="J99" s="25"/>
    </row>
    <row r="100" spans="1:35">
      <c r="A100" s="25" t="s">
        <v>348</v>
      </c>
      <c r="B100" s="25"/>
      <c r="C100" s="25"/>
      <c r="D100" s="25"/>
      <c r="E100" s="25"/>
      <c r="F100" s="25"/>
      <c r="G100" s="25"/>
      <c r="H100" s="25"/>
      <c r="I100" s="25"/>
      <c r="J100" s="25"/>
    </row>
    <row r="101" spans="1:35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spans="1:35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spans="1:35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spans="1:35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35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35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35">
      <c r="A107" s="25" t="s">
        <v>348</v>
      </c>
      <c r="B107" s="25"/>
      <c r="C107" s="25"/>
      <c r="D107" s="25"/>
      <c r="E107" s="25"/>
      <c r="F107" s="25"/>
      <c r="G107" s="25"/>
      <c r="H107" s="25"/>
      <c r="I107" s="25"/>
      <c r="J107" s="25"/>
    </row>
    <row r="108" spans="1:35">
      <c r="A108" s="25" t="s">
        <v>388</v>
      </c>
      <c r="B108" s="25"/>
      <c r="C108" s="25"/>
      <c r="D108" s="25"/>
      <c r="E108" s="25"/>
      <c r="F108" s="25"/>
      <c r="G108" s="25"/>
      <c r="H108" s="25"/>
      <c r="I108" s="25"/>
      <c r="J108" s="25"/>
    </row>
    <row r="109" spans="1:35">
      <c r="A109" s="26" t="s">
        <v>389</v>
      </c>
      <c r="B109" s="25"/>
      <c r="C109" s="25"/>
      <c r="D109" s="25"/>
      <c r="E109" s="25"/>
      <c r="F109" s="25"/>
      <c r="G109" s="25"/>
      <c r="H109" s="25"/>
      <c r="I109" s="25"/>
      <c r="J109" s="25"/>
    </row>
    <row r="110" spans="1:35">
      <c r="A110" s="26" t="s">
        <v>390</v>
      </c>
      <c r="B110" s="25"/>
      <c r="C110" s="25"/>
      <c r="D110" s="25"/>
      <c r="E110" s="25"/>
      <c r="F110" s="25"/>
      <c r="G110" s="25"/>
      <c r="H110" s="25"/>
      <c r="I110" s="25"/>
      <c r="J110" s="25"/>
    </row>
    <row r="111" spans="1:35">
      <c r="A111" s="26" t="s">
        <v>391</v>
      </c>
      <c r="B111" s="25"/>
      <c r="C111" s="25"/>
      <c r="D111" s="25"/>
      <c r="E111" s="25"/>
      <c r="F111" s="25"/>
      <c r="G111" s="25"/>
      <c r="H111" s="25"/>
      <c r="I111" s="25"/>
      <c r="J111" s="25"/>
    </row>
    <row r="112" spans="1:35">
      <c r="A112" s="26" t="s">
        <v>392</v>
      </c>
      <c r="B112" s="26"/>
      <c r="C112" s="25"/>
      <c r="D112" s="25"/>
      <c r="E112" s="25"/>
      <c r="F112" s="25"/>
      <c r="G112" s="25"/>
      <c r="H112" s="25"/>
      <c r="I112" s="25"/>
      <c r="J112" s="25"/>
    </row>
    <row r="113" spans="1:10">
      <c r="A113" s="26" t="s">
        <v>393</v>
      </c>
      <c r="B113" s="26"/>
      <c r="C113" s="25"/>
      <c r="D113" s="25"/>
      <c r="E113" s="25"/>
      <c r="F113" s="25"/>
      <c r="G113" s="25"/>
      <c r="H113" s="25"/>
      <c r="I113" s="25"/>
      <c r="J113" s="25"/>
    </row>
    <row r="114" spans="1:10">
      <c r="A114" s="25" t="s">
        <v>337</v>
      </c>
      <c r="B114" s="25"/>
      <c r="C114" s="25"/>
      <c r="D114" s="25"/>
      <c r="E114" s="25"/>
      <c r="F114" s="25"/>
      <c r="G114" s="25"/>
      <c r="H114" s="25"/>
      <c r="I114" s="25"/>
      <c r="J114" s="25"/>
    </row>
    <row r="117" spans="1:10">
      <c r="A117" t="s">
        <v>328</v>
      </c>
    </row>
    <row r="121" spans="1:10">
      <c r="A121" s="16"/>
    </row>
    <row r="124" spans="1:10">
      <c r="A124" s="16"/>
    </row>
  </sheetData>
  <conditionalFormatting sqref="Z46:AI46">
    <cfRule type="colorScale" priority="5">
      <colorScale>
        <cfvo type="num" val="0"/>
        <cfvo type="num" val="0.1"/>
        <cfvo type="max"/>
        <color rgb="FFF8696B"/>
        <color rgb="FFFFEB84"/>
        <color rgb="FF63BE7B"/>
      </colorScale>
    </cfRule>
  </conditionalFormatting>
  <conditionalFormatting sqref="Z98:AI98">
    <cfRule type="top10" dxfId="0" priority="4" bottom="1" rank="1"/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2EA2-D7FF-47F7-8422-892F0D571EA3}">
  <dimension ref="A1:AA117"/>
  <sheetViews>
    <sheetView topLeftCell="C21" zoomScale="70" zoomScaleNormal="70" workbookViewId="0">
      <selection activeCell="W62" sqref="W62:Y62"/>
    </sheetView>
  </sheetViews>
  <sheetFormatPr defaultRowHeight="14.25"/>
  <cols>
    <col min="1" max="1" width="6.5" customWidth="1"/>
    <col min="2" max="2" width="22.125" customWidth="1"/>
    <col min="3" max="3" width="18.375" customWidth="1"/>
    <col min="19" max="19" width="14" customWidth="1"/>
    <col min="20" max="22" width="11.875" customWidth="1"/>
    <col min="23" max="23" width="15.5" bestFit="1" customWidth="1"/>
    <col min="24" max="24" width="15" bestFit="1" customWidth="1"/>
    <col min="25" max="25" width="14.75" bestFit="1" customWidth="1"/>
    <col min="26" max="26" width="14.625" bestFit="1" customWidth="1"/>
  </cols>
  <sheetData>
    <row r="1" spans="1:25">
      <c r="T1" s="147" t="s">
        <v>2</v>
      </c>
      <c r="U1" s="147"/>
      <c r="V1" s="147"/>
    </row>
    <row r="2" spans="1:25">
      <c r="H2" s="128" t="s">
        <v>6</v>
      </c>
      <c r="I2" s="299" t="s">
        <v>7</v>
      </c>
      <c r="J2" s="299" t="s">
        <v>8</v>
      </c>
      <c r="K2" s="299" t="s">
        <v>9</v>
      </c>
      <c r="L2" s="299" t="s">
        <v>10</v>
      </c>
      <c r="M2" s="299" t="s">
        <v>11</v>
      </c>
      <c r="N2" s="299" t="s">
        <v>12</v>
      </c>
    </row>
    <row r="3" spans="1:25" ht="15" customHeight="1">
      <c r="B3" s="110"/>
      <c r="C3" s="110"/>
      <c r="D3" s="110"/>
      <c r="E3" s="110"/>
      <c r="F3" s="110"/>
      <c r="G3" s="110"/>
      <c r="H3" s="129" t="s">
        <v>7</v>
      </c>
      <c r="I3" s="300"/>
      <c r="J3" s="300"/>
      <c r="K3" s="300"/>
      <c r="L3" s="300"/>
      <c r="M3" s="300"/>
      <c r="N3" s="300"/>
    </row>
    <row r="4" spans="1:25" ht="14.25" customHeight="1">
      <c r="A4" s="137" t="s">
        <v>13</v>
      </c>
      <c r="B4" s="135"/>
      <c r="C4" s="135"/>
      <c r="D4" s="135"/>
      <c r="E4" s="135"/>
      <c r="F4" s="135"/>
      <c r="G4" s="136"/>
      <c r="H4" s="130">
        <v>1</v>
      </c>
      <c r="I4" s="131">
        <v>2</v>
      </c>
      <c r="J4" s="131">
        <v>3</v>
      </c>
      <c r="K4" s="131">
        <v>4</v>
      </c>
      <c r="L4" s="131">
        <v>5</v>
      </c>
      <c r="M4" s="131">
        <v>6</v>
      </c>
      <c r="N4" s="131">
        <v>7</v>
      </c>
    </row>
    <row r="5" spans="1:25">
      <c r="W5" s="1" t="s">
        <v>14</v>
      </c>
      <c r="X5" s="1" t="s">
        <v>15</v>
      </c>
      <c r="Y5" t="s">
        <v>413</v>
      </c>
    </row>
    <row r="6" spans="1:25">
      <c r="A6" s="123" t="s">
        <v>414</v>
      </c>
      <c r="B6" s="168" t="s">
        <v>301</v>
      </c>
      <c r="C6" s="126" t="s">
        <v>415</v>
      </c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69">
        <v>5</v>
      </c>
      <c r="W6">
        <v>4.6672000000000002</v>
      </c>
      <c r="X6">
        <v>1.44065</v>
      </c>
      <c r="Y6" s="155">
        <f>(T6-W6)/X6</f>
        <v>0.23100683719154533</v>
      </c>
    </row>
    <row r="7" spans="1:25">
      <c r="A7" s="123" t="s">
        <v>414</v>
      </c>
      <c r="B7" s="168" t="s">
        <v>303</v>
      </c>
      <c r="C7" s="126" t="s">
        <v>416</v>
      </c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69">
        <v>5</v>
      </c>
      <c r="W7">
        <v>5.6558999999999999</v>
      </c>
      <c r="X7">
        <v>1.0231399999999999</v>
      </c>
      <c r="Y7" s="155">
        <f t="shared" ref="Y7:Y8" si="0">(T7-W7)/X7</f>
        <v>-0.64106573880407369</v>
      </c>
    </row>
    <row r="8" spans="1:25">
      <c r="A8" s="114" t="s">
        <v>16</v>
      </c>
      <c r="B8" s="115" t="s">
        <v>17</v>
      </c>
      <c r="C8" t="s">
        <v>18</v>
      </c>
      <c r="T8" s="148">
        <v>2</v>
      </c>
      <c r="U8" s="57" t="s">
        <v>417</v>
      </c>
      <c r="V8" s="151">
        <f>(T8-1)/6*3+1</f>
        <v>1.5</v>
      </c>
      <c r="W8">
        <v>5.4272</v>
      </c>
      <c r="X8">
        <v>1.24298</v>
      </c>
      <c r="Y8" s="155">
        <f t="shared" si="0"/>
        <v>-2.7572446861574602</v>
      </c>
    </row>
    <row r="9" spans="1:25">
      <c r="A9" s="114" t="s">
        <v>19</v>
      </c>
      <c r="B9" s="116" t="s">
        <v>20</v>
      </c>
      <c r="C9" s="94" t="s">
        <v>21</v>
      </c>
      <c r="T9" s="148">
        <v>6</v>
      </c>
      <c r="U9" s="57" t="s">
        <v>417</v>
      </c>
      <c r="V9" s="151">
        <f t="shared" ref="V9:V10" si="1">(T9-1)/6*3+1</f>
        <v>3.5</v>
      </c>
    </row>
    <row r="10" spans="1:25">
      <c r="A10" s="114" t="s">
        <v>19</v>
      </c>
      <c r="B10" s="116" t="s">
        <v>22</v>
      </c>
      <c r="C10" s="94" t="s">
        <v>23</v>
      </c>
      <c r="T10" s="148">
        <v>7</v>
      </c>
      <c r="U10" s="57" t="s">
        <v>417</v>
      </c>
      <c r="V10" s="151">
        <f t="shared" si="1"/>
        <v>4</v>
      </c>
    </row>
    <row r="11" spans="1:25">
      <c r="B11" s="91"/>
    </row>
    <row r="12" spans="1:25">
      <c r="B12" s="91"/>
      <c r="H12" s="128" t="s">
        <v>6</v>
      </c>
      <c r="I12" s="299" t="s">
        <v>24</v>
      </c>
      <c r="J12" s="299" t="s">
        <v>25</v>
      </c>
      <c r="K12" s="299" t="s">
        <v>9</v>
      </c>
      <c r="L12" s="299" t="s">
        <v>26</v>
      </c>
      <c r="M12" s="299" t="s">
        <v>27</v>
      </c>
      <c r="N12" s="299" t="s">
        <v>28</v>
      </c>
    </row>
    <row r="13" spans="1:25">
      <c r="B13" s="91"/>
      <c r="H13" s="132" t="s">
        <v>24</v>
      </c>
      <c r="I13" s="310"/>
      <c r="J13" s="310"/>
      <c r="K13" s="310"/>
      <c r="L13" s="310"/>
      <c r="M13" s="310"/>
      <c r="N13" s="310"/>
    </row>
    <row r="14" spans="1:25">
      <c r="A14" s="138" t="s">
        <v>29</v>
      </c>
      <c r="B14" s="138"/>
      <c r="H14" s="133">
        <v>1</v>
      </c>
      <c r="I14" s="134">
        <v>2</v>
      </c>
      <c r="J14" s="134">
        <v>3</v>
      </c>
      <c r="K14" s="134">
        <v>4</v>
      </c>
      <c r="L14" s="134">
        <v>5</v>
      </c>
      <c r="M14" s="134">
        <v>6</v>
      </c>
      <c r="N14" s="134">
        <v>7</v>
      </c>
    </row>
    <row r="15" spans="1:25">
      <c r="B15" s="117"/>
    </row>
    <row r="16" spans="1:25">
      <c r="A16" s="123" t="s">
        <v>19</v>
      </c>
      <c r="B16" s="124" t="s">
        <v>404</v>
      </c>
      <c r="C16" s="125" t="s">
        <v>418</v>
      </c>
      <c r="D16" s="126"/>
      <c r="E16" s="126"/>
      <c r="F16" s="126"/>
      <c r="G16" s="126"/>
      <c r="T16" s="148">
        <v>5</v>
      </c>
    </row>
    <row r="17" spans="1:25">
      <c r="A17" s="114" t="s">
        <v>19</v>
      </c>
      <c r="B17" s="116" t="s">
        <v>30</v>
      </c>
      <c r="C17" s="94" t="s">
        <v>31</v>
      </c>
      <c r="T17" s="148">
        <v>6</v>
      </c>
    </row>
    <row r="18" spans="1:25">
      <c r="A18" s="114" t="s">
        <v>19</v>
      </c>
      <c r="B18" s="116" t="s">
        <v>32</v>
      </c>
      <c r="C18" s="109" t="s">
        <v>33</v>
      </c>
      <c r="T18" s="148">
        <v>6</v>
      </c>
    </row>
    <row r="19" spans="1:25">
      <c r="A19" s="123" t="s">
        <v>19</v>
      </c>
      <c r="B19" s="124" t="s">
        <v>408</v>
      </c>
      <c r="C19" s="125" t="s">
        <v>409</v>
      </c>
      <c r="D19" s="126"/>
      <c r="E19" s="126"/>
      <c r="F19" s="126"/>
      <c r="G19" s="126"/>
      <c r="H19" s="126"/>
      <c r="I19" s="126"/>
      <c r="J19" s="126"/>
      <c r="T19" s="148">
        <v>5</v>
      </c>
    </row>
    <row r="20" spans="1:25">
      <c r="A20" s="123" t="s">
        <v>19</v>
      </c>
      <c r="B20" s="124" t="s">
        <v>410</v>
      </c>
      <c r="C20" s="127" t="s">
        <v>411</v>
      </c>
      <c r="D20" s="126"/>
      <c r="E20" s="126"/>
      <c r="F20" s="126"/>
      <c r="G20" s="126"/>
      <c r="H20" s="126"/>
      <c r="I20" s="126"/>
      <c r="J20" s="126"/>
      <c r="T20" s="148">
        <v>7</v>
      </c>
    </row>
    <row r="21" spans="1:25">
      <c r="A21" s="170" t="s">
        <v>19</v>
      </c>
      <c r="B21" s="118" t="s">
        <v>34</v>
      </c>
      <c r="C21" t="s">
        <v>35</v>
      </c>
      <c r="T21" s="148">
        <v>2</v>
      </c>
    </row>
    <row r="22" spans="1:25">
      <c r="B22" s="91"/>
    </row>
    <row r="23" spans="1:25">
      <c r="A23" s="113" t="s">
        <v>36</v>
      </c>
      <c r="H23" s="133">
        <v>1</v>
      </c>
      <c r="I23" s="134">
        <v>2</v>
      </c>
      <c r="J23" s="134">
        <v>3</v>
      </c>
      <c r="K23" s="134">
        <v>4</v>
      </c>
      <c r="L23" s="134">
        <v>5</v>
      </c>
      <c r="M23" s="134">
        <v>6</v>
      </c>
      <c r="N23" s="134">
        <v>7</v>
      </c>
    </row>
    <row r="24" spans="1:25">
      <c r="B24" s="91"/>
      <c r="H24" s="9" t="s">
        <v>37</v>
      </c>
      <c r="I24" s="111" t="s">
        <v>37</v>
      </c>
      <c r="J24" s="111" t="s">
        <v>37</v>
      </c>
      <c r="K24" s="111" t="s">
        <v>37</v>
      </c>
      <c r="L24" s="111" t="s">
        <v>37</v>
      </c>
      <c r="M24" s="111" t="s">
        <v>37</v>
      </c>
      <c r="N24" s="111" t="s">
        <v>37</v>
      </c>
      <c r="W24" s="1" t="s">
        <v>14</v>
      </c>
      <c r="X24" s="1" t="s">
        <v>15</v>
      </c>
      <c r="Y24" t="s">
        <v>413</v>
      </c>
    </row>
    <row r="25" spans="1:25" s="2" customFormat="1" ht="24.75" customHeight="1">
      <c r="A25" s="139" t="s">
        <v>16</v>
      </c>
      <c r="B25" s="119" t="s">
        <v>38</v>
      </c>
      <c r="C25" s="306" t="s">
        <v>39</v>
      </c>
      <c r="D25" s="306"/>
      <c r="E25" s="306"/>
      <c r="F25" s="306"/>
      <c r="G25" s="306"/>
      <c r="O25" s="307" t="s">
        <v>40</v>
      </c>
      <c r="P25" s="307"/>
      <c r="Q25" s="307"/>
      <c r="R25" s="307"/>
      <c r="S25" s="307"/>
      <c r="T25" s="148">
        <v>2</v>
      </c>
      <c r="U25" s="112" t="s">
        <v>419</v>
      </c>
      <c r="V25" s="153">
        <f>8-T25</f>
        <v>6</v>
      </c>
      <c r="W25" s="90">
        <v>4.4637000000000002</v>
      </c>
      <c r="X25" s="90">
        <v>2.0409899999999999</v>
      </c>
      <c r="Y25" s="156">
        <f>(V25-W25)/X25</f>
        <v>0.75272294327752698</v>
      </c>
    </row>
    <row r="26" spans="1:25" s="2" customFormat="1" ht="24.75" customHeight="1">
      <c r="A26" s="171" t="s">
        <v>414</v>
      </c>
      <c r="B26" s="172" t="s">
        <v>292</v>
      </c>
      <c r="C26" s="314" t="s">
        <v>420</v>
      </c>
      <c r="D26" s="314"/>
      <c r="E26" s="314"/>
      <c r="F26" s="314"/>
      <c r="G26" s="314"/>
      <c r="H26" s="173"/>
      <c r="I26" s="173"/>
      <c r="J26" s="173"/>
      <c r="K26" s="173"/>
      <c r="L26" s="173"/>
      <c r="M26" s="173"/>
      <c r="N26" s="173"/>
      <c r="O26" s="313" t="s">
        <v>421</v>
      </c>
      <c r="P26" s="313"/>
      <c r="Q26" s="313"/>
      <c r="R26" s="313"/>
      <c r="S26" s="313"/>
      <c r="T26" s="148">
        <v>4</v>
      </c>
      <c r="U26" s="112" t="s">
        <v>419</v>
      </c>
      <c r="V26" s="153">
        <f t="shared" ref="V26:V27" si="2">8-T26</f>
        <v>4</v>
      </c>
      <c r="W26" s="90">
        <v>3.3389000000000002</v>
      </c>
      <c r="X26" s="90">
        <v>1.80497</v>
      </c>
      <c r="Y26" s="156">
        <f t="shared" ref="Y26:Y27" si="3">(V26-W26)/X26</f>
        <v>0.36626647534308038</v>
      </c>
    </row>
    <row r="27" spans="1:25" s="2" customFormat="1" ht="24.75" customHeight="1">
      <c r="A27" s="171" t="s">
        <v>414</v>
      </c>
      <c r="B27" s="172" t="s">
        <v>294</v>
      </c>
      <c r="C27" s="314" t="s">
        <v>422</v>
      </c>
      <c r="D27" s="314"/>
      <c r="E27" s="314"/>
      <c r="F27" s="314"/>
      <c r="G27" s="314"/>
      <c r="H27" s="173"/>
      <c r="I27" s="173"/>
      <c r="J27" s="173"/>
      <c r="K27" s="173"/>
      <c r="L27" s="173"/>
      <c r="M27" s="173"/>
      <c r="N27" s="173"/>
      <c r="O27" s="313" t="s">
        <v>423</v>
      </c>
      <c r="P27" s="313"/>
      <c r="Q27" s="313"/>
      <c r="R27" s="313"/>
      <c r="S27" s="313"/>
      <c r="T27" s="148">
        <v>2</v>
      </c>
      <c r="U27" s="112" t="s">
        <v>419</v>
      </c>
      <c r="V27" s="153">
        <f t="shared" si="2"/>
        <v>6</v>
      </c>
      <c r="W27" s="90">
        <v>4.0064000000000002</v>
      </c>
      <c r="X27" s="90">
        <v>1.76135</v>
      </c>
      <c r="Y27" s="156">
        <f t="shared" si="3"/>
        <v>1.1318590853606607</v>
      </c>
    </row>
    <row r="28" spans="1:25" s="2" customFormat="1" ht="24.75" customHeight="1">
      <c r="A28" s="174" t="s">
        <v>19</v>
      </c>
      <c r="B28" s="120" t="s">
        <v>42</v>
      </c>
      <c r="C28" s="306" t="s">
        <v>43</v>
      </c>
      <c r="D28" s="306"/>
      <c r="E28" s="306"/>
      <c r="F28" s="306"/>
      <c r="G28" s="306"/>
      <c r="O28" s="307" t="s">
        <v>44</v>
      </c>
      <c r="P28" s="307"/>
      <c r="Q28" s="307"/>
      <c r="R28" s="307"/>
      <c r="S28" s="307"/>
      <c r="T28" s="148">
        <v>1</v>
      </c>
      <c r="U28" s="112"/>
      <c r="V28" s="112"/>
    </row>
    <row r="29" spans="1:25">
      <c r="B29" s="91"/>
    </row>
    <row r="30" spans="1:25">
      <c r="B30" s="91"/>
    </row>
    <row r="31" spans="1:25">
      <c r="B31" s="91"/>
      <c r="H31" s="308" t="s">
        <v>45</v>
      </c>
      <c r="I31" s="309"/>
      <c r="J31" s="140"/>
      <c r="K31" s="141"/>
      <c r="L31" s="142"/>
      <c r="M31" s="308" t="s">
        <v>46</v>
      </c>
      <c r="N31" s="309"/>
    </row>
    <row r="32" spans="1:25">
      <c r="A32" s="121" t="s">
        <v>47</v>
      </c>
      <c r="B32" s="121"/>
      <c r="H32" s="143">
        <v>-1</v>
      </c>
      <c r="I32" s="144">
        <v>-2</v>
      </c>
      <c r="J32" s="145">
        <v>-3</v>
      </c>
      <c r="K32" s="145">
        <v>-4</v>
      </c>
      <c r="L32" s="144">
        <v>-5</v>
      </c>
      <c r="M32" s="144">
        <v>-6</v>
      </c>
      <c r="N32" s="144">
        <v>-7</v>
      </c>
    </row>
    <row r="33" spans="1:25">
      <c r="B33" s="121"/>
      <c r="H33" s="146"/>
      <c r="I33" s="146"/>
      <c r="J33" s="146"/>
      <c r="K33" s="146"/>
      <c r="L33" s="146"/>
      <c r="M33" s="146"/>
      <c r="N33" s="146"/>
      <c r="W33" s="1" t="s">
        <v>14</v>
      </c>
      <c r="X33" s="1" t="s">
        <v>15</v>
      </c>
      <c r="Y33" t="s">
        <v>413</v>
      </c>
    </row>
    <row r="34" spans="1:25">
      <c r="A34" s="123" t="s">
        <v>414</v>
      </c>
      <c r="B34" s="168" t="s">
        <v>296</v>
      </c>
      <c r="C34" s="126" t="s">
        <v>424</v>
      </c>
      <c r="T34" s="148">
        <v>2</v>
      </c>
      <c r="W34">
        <v>3.8729</v>
      </c>
      <c r="X34">
        <v>1.15913</v>
      </c>
      <c r="Y34" s="154">
        <f>(T34-W34)/X34</f>
        <v>-1.6157808011180799</v>
      </c>
    </row>
    <row r="35" spans="1:25">
      <c r="A35" s="114" t="s">
        <v>16</v>
      </c>
      <c r="B35" s="122" t="s">
        <v>48</v>
      </c>
      <c r="C35" t="s">
        <v>49</v>
      </c>
      <c r="T35" s="148">
        <v>1</v>
      </c>
      <c r="W35">
        <v>3.5345</v>
      </c>
      <c r="X35">
        <v>1.6546700000000001</v>
      </c>
      <c r="Y35" s="154">
        <f t="shared" ref="Y35:Y36" si="4">(T35-W35)/X35</f>
        <v>-1.5317253591350539</v>
      </c>
    </row>
    <row r="36" spans="1:25">
      <c r="A36" s="123" t="s">
        <v>414</v>
      </c>
      <c r="B36" s="168" t="s">
        <v>299</v>
      </c>
      <c r="C36" s="126" t="s">
        <v>425</v>
      </c>
      <c r="T36" s="148">
        <v>3</v>
      </c>
      <c r="W36">
        <v>5.0602999999999998</v>
      </c>
      <c r="X36">
        <v>1.24655</v>
      </c>
      <c r="Y36" s="154">
        <f t="shared" si="4"/>
        <v>-1.6528017327824793</v>
      </c>
    </row>
    <row r="37" spans="1:25">
      <c r="A37" s="114" t="s">
        <v>19</v>
      </c>
      <c r="B37" s="118" t="s">
        <v>50</v>
      </c>
      <c r="C37" t="s">
        <v>51</v>
      </c>
      <c r="T37" s="148">
        <v>4</v>
      </c>
    </row>
    <row r="38" spans="1:25">
      <c r="A38" s="114" t="s">
        <v>19</v>
      </c>
      <c r="B38" s="118" t="s">
        <v>52</v>
      </c>
      <c r="C38" t="s">
        <v>53</v>
      </c>
      <c r="T38" s="148">
        <v>5</v>
      </c>
    </row>
    <row r="42" spans="1:25">
      <c r="A42" s="121" t="s">
        <v>426</v>
      </c>
      <c r="G42">
        <v>1</v>
      </c>
      <c r="H42">
        <v>2</v>
      </c>
      <c r="I42">
        <v>3</v>
      </c>
      <c r="J42">
        <v>4</v>
      </c>
      <c r="K42">
        <v>5</v>
      </c>
      <c r="L42">
        <v>6</v>
      </c>
      <c r="M42">
        <v>7</v>
      </c>
      <c r="N42">
        <v>8</v>
      </c>
      <c r="W42" s="1" t="s">
        <v>14</v>
      </c>
      <c r="X42" s="1" t="s">
        <v>15</v>
      </c>
    </row>
    <row r="43" spans="1:25">
      <c r="A43" t="s">
        <v>206</v>
      </c>
      <c r="B43" s="57" t="s">
        <v>61</v>
      </c>
      <c r="C43" s="57"/>
      <c r="F43" s="149" t="s">
        <v>62</v>
      </c>
      <c r="G43" s="148">
        <v>1</v>
      </c>
      <c r="K43" s="148">
        <v>0</v>
      </c>
      <c r="N43" s="148">
        <v>1</v>
      </c>
      <c r="T43" s="150">
        <f>SUM(G43:N43)</f>
        <v>2</v>
      </c>
      <c r="W43">
        <v>-0.45450000000000002</v>
      </c>
      <c r="X43">
        <v>1.0104200000000001</v>
      </c>
      <c r="Y43" s="152">
        <f>(T43-W43)/X43</f>
        <v>2.4291878624730305</v>
      </c>
    </row>
    <row r="44" spans="1:25">
      <c r="A44" t="s">
        <v>215</v>
      </c>
      <c r="B44" s="57" t="s">
        <v>65</v>
      </c>
      <c r="C44" s="57"/>
      <c r="F44" s="149" t="s">
        <v>62</v>
      </c>
      <c r="H44" s="148">
        <v>0</v>
      </c>
      <c r="K44" s="148">
        <v>0</v>
      </c>
      <c r="T44" s="150">
        <f t="shared" ref="T44:T52" si="5">SUM(G44:N44)</f>
        <v>0</v>
      </c>
      <c r="W44">
        <v>-0.25459999999999999</v>
      </c>
      <c r="X44">
        <v>1.1991000000000001</v>
      </c>
      <c r="Y44" s="152">
        <f t="shared" ref="Y44:Y52" si="6">(T44-W44)/X44</f>
        <v>0.21232591109999163</v>
      </c>
    </row>
    <row r="45" spans="1:25">
      <c r="A45" t="s">
        <v>207</v>
      </c>
      <c r="B45" s="57" t="s">
        <v>68</v>
      </c>
      <c r="C45" s="57"/>
      <c r="F45" s="149" t="s">
        <v>62</v>
      </c>
      <c r="G45" s="148">
        <v>0</v>
      </c>
      <c r="I45" s="148">
        <v>1</v>
      </c>
      <c r="L45" s="148">
        <v>0</v>
      </c>
      <c r="T45" s="150">
        <f t="shared" si="5"/>
        <v>1</v>
      </c>
      <c r="W45">
        <v>-0.93279999999999996</v>
      </c>
      <c r="X45">
        <v>1.2241200000000001</v>
      </c>
      <c r="Y45" s="152">
        <f t="shared" si="6"/>
        <v>1.5789301702447469</v>
      </c>
    </row>
    <row r="46" spans="1:25">
      <c r="A46" t="s">
        <v>216</v>
      </c>
      <c r="B46" s="57" t="s">
        <v>71</v>
      </c>
      <c r="C46" s="57"/>
      <c r="F46" s="149" t="s">
        <v>62</v>
      </c>
      <c r="H46" s="148">
        <v>0</v>
      </c>
      <c r="J46" s="148">
        <v>0</v>
      </c>
      <c r="L46" s="148">
        <v>0</v>
      </c>
      <c r="M46" s="148">
        <v>-1</v>
      </c>
      <c r="T46" s="150">
        <f t="shared" si="5"/>
        <v>-1</v>
      </c>
      <c r="W46">
        <v>3.8600000000000002E-2</v>
      </c>
      <c r="X46">
        <v>1.13192</v>
      </c>
      <c r="Y46" s="152">
        <f t="shared" si="6"/>
        <v>-0.9175560110255141</v>
      </c>
    </row>
    <row r="47" spans="1:25">
      <c r="A47" t="s">
        <v>208</v>
      </c>
      <c r="B47" s="57" t="s">
        <v>74</v>
      </c>
      <c r="C47" s="57"/>
      <c r="F47" s="149" t="s">
        <v>62</v>
      </c>
      <c r="G47" s="148">
        <v>0</v>
      </c>
      <c r="I47" s="148">
        <v>0</v>
      </c>
      <c r="M47" s="148">
        <v>-1</v>
      </c>
      <c r="N47" s="148">
        <v>-1</v>
      </c>
      <c r="T47" s="150">
        <f t="shared" si="5"/>
        <v>-2</v>
      </c>
      <c r="W47">
        <v>0.99750000000000005</v>
      </c>
      <c r="X47">
        <v>1.3282099999999999</v>
      </c>
      <c r="Y47" s="152">
        <f t="shared" si="6"/>
        <v>-2.2567967414791337</v>
      </c>
    </row>
    <row r="48" spans="1:25">
      <c r="A48" t="s">
        <v>242</v>
      </c>
      <c r="B48" s="57" t="s">
        <v>77</v>
      </c>
      <c r="C48" s="57"/>
      <c r="F48" s="149" t="s">
        <v>62</v>
      </c>
      <c r="H48" s="148">
        <v>1</v>
      </c>
      <c r="J48" s="148">
        <v>1</v>
      </c>
      <c r="M48" s="148">
        <v>0</v>
      </c>
      <c r="N48" s="148">
        <v>0</v>
      </c>
      <c r="T48" s="150">
        <f t="shared" si="5"/>
        <v>2</v>
      </c>
      <c r="W48">
        <v>-0.18509999999999999</v>
      </c>
      <c r="X48">
        <v>1.00078</v>
      </c>
      <c r="Y48" s="152">
        <f t="shared" si="6"/>
        <v>2.1833969503787043</v>
      </c>
    </row>
    <row r="49" spans="1:25">
      <c r="A49" t="s">
        <v>209</v>
      </c>
      <c r="B49" s="57" t="s">
        <v>80</v>
      </c>
      <c r="C49" s="57"/>
      <c r="F49" s="149" t="s">
        <v>62</v>
      </c>
      <c r="G49" s="148">
        <v>-1</v>
      </c>
      <c r="I49" s="148">
        <v>0</v>
      </c>
      <c r="L49" s="148">
        <v>1</v>
      </c>
      <c r="M49" s="148">
        <v>0</v>
      </c>
      <c r="T49" s="150">
        <f t="shared" si="5"/>
        <v>0</v>
      </c>
      <c r="W49">
        <v>0.16739999999999999</v>
      </c>
      <c r="X49">
        <v>1.09544</v>
      </c>
      <c r="Y49" s="152">
        <f t="shared" si="6"/>
        <v>-0.15281530709121449</v>
      </c>
    </row>
    <row r="50" spans="1:25">
      <c r="A50" t="s">
        <v>217</v>
      </c>
      <c r="B50" s="57" t="s">
        <v>83</v>
      </c>
      <c r="C50" s="57"/>
      <c r="F50" s="149" t="s">
        <v>62</v>
      </c>
      <c r="H50" s="148">
        <v>-1</v>
      </c>
      <c r="I50">
        <v>0</v>
      </c>
      <c r="J50" s="148">
        <v>-1</v>
      </c>
      <c r="L50" s="148">
        <v>-1</v>
      </c>
      <c r="T50" s="150">
        <f t="shared" si="5"/>
        <v>-3</v>
      </c>
      <c r="W50">
        <v>0.75929999999999997</v>
      </c>
      <c r="X50">
        <v>1.38839</v>
      </c>
      <c r="Y50" s="152">
        <f t="shared" si="6"/>
        <v>-2.7076685945591659</v>
      </c>
    </row>
    <row r="51" spans="1:25">
      <c r="A51" t="s">
        <v>236</v>
      </c>
      <c r="B51" s="57" t="s">
        <v>86</v>
      </c>
      <c r="C51" s="57"/>
      <c r="F51" s="149" t="s">
        <v>62</v>
      </c>
      <c r="I51" s="148">
        <v>-1</v>
      </c>
      <c r="J51">
        <v>0</v>
      </c>
      <c r="K51" s="148">
        <v>-1</v>
      </c>
      <c r="T51" s="150">
        <f t="shared" si="5"/>
        <v>-2</v>
      </c>
      <c r="W51">
        <v>-0.66710000000000003</v>
      </c>
      <c r="X51">
        <v>1.51346</v>
      </c>
      <c r="Y51" s="152">
        <f t="shared" si="6"/>
        <v>-0.88069721036565218</v>
      </c>
    </row>
    <row r="52" spans="1:25">
      <c r="A52" t="s">
        <v>224</v>
      </c>
      <c r="B52" s="57" t="s">
        <v>89</v>
      </c>
      <c r="C52" s="57"/>
      <c r="F52" s="149" t="s">
        <v>62</v>
      </c>
      <c r="J52" s="148">
        <v>0</v>
      </c>
      <c r="K52" s="148">
        <v>1</v>
      </c>
      <c r="N52" s="148">
        <v>0</v>
      </c>
      <c r="T52" s="150">
        <f t="shared" si="5"/>
        <v>1</v>
      </c>
      <c r="W52">
        <v>0.53139999999999998</v>
      </c>
      <c r="X52">
        <v>1.17622</v>
      </c>
      <c r="Y52" s="152">
        <f t="shared" si="6"/>
        <v>0.39839485810477632</v>
      </c>
    </row>
    <row r="55" spans="1:25">
      <c r="A55">
        <v>1</v>
      </c>
      <c r="B55" s="57" t="s">
        <v>108</v>
      </c>
    </row>
    <row r="56" spans="1:25">
      <c r="A56">
        <v>-1</v>
      </c>
      <c r="B56" s="57" t="s">
        <v>109</v>
      </c>
    </row>
    <row r="57" spans="1:25">
      <c r="A57">
        <v>0</v>
      </c>
      <c r="B57" s="57" t="s">
        <v>110</v>
      </c>
    </row>
    <row r="59" spans="1:25" ht="15" thickBot="1">
      <c r="C59" s="57"/>
      <c r="D59" s="105"/>
      <c r="L59" s="91"/>
      <c r="W59" s="1" t="s">
        <v>14</v>
      </c>
      <c r="X59" s="1" t="s">
        <v>15</v>
      </c>
      <c r="Y59" t="s">
        <v>413</v>
      </c>
    </row>
    <row r="60" spans="1:25" ht="17.25" thickTop="1" thickBot="1">
      <c r="B60" s="108" t="s">
        <v>396</v>
      </c>
      <c r="C60" s="97" t="s">
        <v>113</v>
      </c>
      <c r="D60" s="104" t="s">
        <v>114</v>
      </c>
      <c r="E60" s="94" t="s">
        <v>115</v>
      </c>
      <c r="F60" s="94"/>
      <c r="G60" s="94"/>
      <c r="H60" s="94"/>
      <c r="I60" s="94"/>
      <c r="J60" s="94"/>
      <c r="K60" s="94"/>
      <c r="M60" s="94"/>
      <c r="Q60" s="95"/>
      <c r="T60" s="157">
        <f>V25</f>
        <v>6</v>
      </c>
      <c r="V60" s="158">
        <f>T60</f>
        <v>6</v>
      </c>
      <c r="W60">
        <v>3.1911</v>
      </c>
      <c r="X60">
        <v>0.53471999999999997</v>
      </c>
      <c r="Y60" s="160">
        <f>(V60-W60)/X60</f>
        <v>5.2530296229802511</v>
      </c>
    </row>
    <row r="61" spans="1:25" ht="17.25" thickTop="1" thickBot="1">
      <c r="B61" s="108"/>
      <c r="C61" s="97"/>
      <c r="D61" s="104"/>
      <c r="E61" s="94"/>
      <c r="F61" s="94"/>
      <c r="G61" s="94"/>
      <c r="H61" s="94"/>
      <c r="I61" s="94"/>
      <c r="J61" s="94"/>
      <c r="K61" s="94"/>
      <c r="M61" s="94"/>
      <c r="Q61" s="95"/>
      <c r="V61" s="159"/>
    </row>
    <row r="62" spans="1:25" ht="17.25" thickTop="1" thickBot="1">
      <c r="B62" s="108" t="s">
        <v>398</v>
      </c>
      <c r="C62" s="97" t="s">
        <v>20</v>
      </c>
      <c r="D62" s="104" t="s">
        <v>117</v>
      </c>
      <c r="E62" s="94" t="s">
        <v>21</v>
      </c>
      <c r="F62" s="94"/>
      <c r="G62" s="94"/>
      <c r="H62" s="94"/>
      <c r="I62" s="94"/>
      <c r="J62" s="94"/>
      <c r="K62" s="94"/>
      <c r="M62" s="94"/>
      <c r="P62" s="95" t="s">
        <v>118</v>
      </c>
      <c r="S62" t="s">
        <v>427</v>
      </c>
      <c r="T62" s="157">
        <f>V25</f>
        <v>6</v>
      </c>
      <c r="V62" s="158">
        <f>AVERAGE(T62:T64)</f>
        <v>5.333333333333333</v>
      </c>
      <c r="W62">
        <v>4.8754</v>
      </c>
      <c r="X62">
        <v>0.91659999999999997</v>
      </c>
      <c r="Y62" s="160">
        <f>(V62-W62)/X62</f>
        <v>0.49959997090697478</v>
      </c>
    </row>
    <row r="63" spans="1:25" ht="17.25" thickTop="1" thickBot="1">
      <c r="B63" s="108"/>
      <c r="C63" s="97" t="s">
        <v>120</v>
      </c>
      <c r="D63" s="104" t="s">
        <v>117</v>
      </c>
      <c r="E63" s="94" t="s">
        <v>122</v>
      </c>
      <c r="F63" s="94"/>
      <c r="G63" s="94"/>
      <c r="H63" s="94"/>
      <c r="I63" s="94"/>
      <c r="J63" s="94"/>
      <c r="K63" s="94"/>
      <c r="M63" s="94"/>
      <c r="P63" s="95" t="s">
        <v>121</v>
      </c>
      <c r="T63" s="157">
        <f t="shared" ref="T63:T64" si="7">V26</f>
        <v>4</v>
      </c>
      <c r="V63" s="159"/>
    </row>
    <row r="64" spans="1:25" ht="17.25" thickTop="1" thickBot="1">
      <c r="B64" s="108"/>
      <c r="C64" s="97" t="s">
        <v>22</v>
      </c>
      <c r="D64" s="104" t="s">
        <v>117</v>
      </c>
      <c r="E64" s="94" t="s">
        <v>23</v>
      </c>
      <c r="F64" s="94"/>
      <c r="G64" s="94"/>
      <c r="H64" s="94"/>
      <c r="I64" s="94"/>
      <c r="J64" s="94"/>
      <c r="K64" s="94"/>
      <c r="M64" s="94"/>
      <c r="P64" s="95" t="s">
        <v>123</v>
      </c>
      <c r="T64" s="157">
        <f t="shared" si="7"/>
        <v>6</v>
      </c>
      <c r="V64" s="159"/>
    </row>
    <row r="65" spans="2:27" ht="17.25" thickTop="1" thickBot="1">
      <c r="B65" s="108"/>
      <c r="C65" s="97"/>
      <c r="D65" s="104"/>
      <c r="E65" s="94"/>
      <c r="F65" s="94"/>
      <c r="G65" s="94"/>
      <c r="H65" s="94"/>
      <c r="I65" s="94"/>
      <c r="J65" s="94"/>
      <c r="K65" s="94"/>
      <c r="M65" s="94"/>
      <c r="Q65" s="95"/>
      <c r="V65" s="159"/>
    </row>
    <row r="66" spans="2:27" ht="17.25" thickTop="1" thickBot="1">
      <c r="B66" s="108" t="s">
        <v>403</v>
      </c>
      <c r="C66" s="178" t="s">
        <v>404</v>
      </c>
      <c r="D66" s="179" t="s">
        <v>125</v>
      </c>
      <c r="E66" s="125" t="s">
        <v>418</v>
      </c>
      <c r="F66" s="125"/>
      <c r="G66" s="125"/>
      <c r="H66" s="125"/>
      <c r="I66" s="125"/>
      <c r="J66" s="125"/>
      <c r="K66" s="125"/>
      <c r="L66" s="126"/>
      <c r="M66" s="125"/>
      <c r="N66" s="126"/>
      <c r="O66" s="126"/>
      <c r="P66" s="126"/>
      <c r="Q66" s="180"/>
      <c r="T66" s="157">
        <f>T16</f>
        <v>5</v>
      </c>
      <c r="V66" s="158">
        <f>AVERAGE(T66:T67)</f>
        <v>5.5</v>
      </c>
      <c r="W66">
        <v>2.4272</v>
      </c>
      <c r="X66">
        <v>0.93906999999999996</v>
      </c>
      <c r="Y66" s="160">
        <f>(V66-W66)/X66</f>
        <v>3.2721735333894175</v>
      </c>
    </row>
    <row r="67" spans="2:27" ht="17.25" thickTop="1" thickBot="1">
      <c r="B67" s="108"/>
      <c r="C67" s="97" t="s">
        <v>30</v>
      </c>
      <c r="D67" s="104" t="s">
        <v>125</v>
      </c>
      <c r="E67" s="94" t="s">
        <v>31</v>
      </c>
      <c r="F67" s="94"/>
      <c r="G67" s="94"/>
      <c r="H67" s="94"/>
      <c r="I67" s="94"/>
      <c r="J67" s="94"/>
      <c r="K67" s="94"/>
      <c r="M67" s="94"/>
      <c r="Q67" s="95"/>
      <c r="T67" s="157">
        <f>T17</f>
        <v>6</v>
      </c>
      <c r="V67" s="159"/>
    </row>
    <row r="68" spans="2:27" ht="17.25" thickTop="1" thickBot="1">
      <c r="B68" s="108"/>
      <c r="C68" s="97"/>
      <c r="D68" s="104"/>
      <c r="E68" s="94"/>
      <c r="F68" s="94"/>
      <c r="G68" s="94"/>
      <c r="H68" s="94"/>
      <c r="I68" s="94"/>
      <c r="J68" s="94"/>
      <c r="K68" s="94"/>
      <c r="M68" s="94"/>
      <c r="Q68" s="95"/>
      <c r="V68" s="159"/>
    </row>
    <row r="69" spans="2:27" ht="17.25" thickTop="1" thickBot="1">
      <c r="B69" s="108" t="s">
        <v>407</v>
      </c>
      <c r="C69" s="97" t="s">
        <v>32</v>
      </c>
      <c r="D69" s="104" t="s">
        <v>127</v>
      </c>
      <c r="E69" s="109" t="s">
        <v>33</v>
      </c>
      <c r="F69" s="109"/>
      <c r="G69" s="109"/>
      <c r="H69" s="109"/>
      <c r="I69" s="109"/>
      <c r="J69" s="109"/>
      <c r="K69" s="109"/>
      <c r="M69" s="109"/>
      <c r="Q69" s="95"/>
      <c r="T69" s="157">
        <f>V32</f>
        <v>0</v>
      </c>
      <c r="V69" s="158">
        <f>AVERAGE(T69:T71)</f>
        <v>0</v>
      </c>
      <c r="W69">
        <v>4.6403999999999996</v>
      </c>
      <c r="X69">
        <v>2.0521699999999998</v>
      </c>
      <c r="Y69" s="160">
        <f>(V69-W69)/X69</f>
        <v>-2.2612161760477933</v>
      </c>
    </row>
    <row r="70" spans="2:27" ht="17.25" thickTop="1" thickBot="1">
      <c r="B70" s="94"/>
      <c r="C70" s="178" t="s">
        <v>408</v>
      </c>
      <c r="D70" s="179" t="s">
        <v>127</v>
      </c>
      <c r="E70" s="125" t="s">
        <v>409</v>
      </c>
      <c r="F70" s="125"/>
      <c r="G70" s="125"/>
      <c r="H70" s="125"/>
      <c r="I70" s="125"/>
      <c r="J70" s="125"/>
      <c r="K70" s="125"/>
      <c r="M70" s="94"/>
      <c r="Q70" s="95"/>
      <c r="T70" s="157">
        <f t="shared" ref="T70:T71" si="8">V33</f>
        <v>0</v>
      </c>
      <c r="V70" s="159"/>
    </row>
    <row r="71" spans="2:27" ht="17.25" thickTop="1" thickBot="1">
      <c r="B71" s="94"/>
      <c r="C71" s="178" t="s">
        <v>410</v>
      </c>
      <c r="D71" s="179" t="s">
        <v>127</v>
      </c>
      <c r="E71" s="127" t="s">
        <v>411</v>
      </c>
      <c r="F71" s="127"/>
      <c r="G71" s="127"/>
      <c r="H71" s="127"/>
      <c r="I71" s="127"/>
      <c r="J71" s="127"/>
      <c r="K71" s="127"/>
      <c r="M71" s="109"/>
      <c r="Q71" s="95"/>
      <c r="T71" s="157">
        <f t="shared" si="8"/>
        <v>0</v>
      </c>
      <c r="V71" s="159"/>
    </row>
    <row r="72" spans="2:27" ht="15" thickTop="1"/>
    <row r="76" spans="2:27">
      <c r="D76" t="s">
        <v>267</v>
      </c>
      <c r="L76" t="s">
        <v>268</v>
      </c>
      <c r="M76" t="s">
        <v>269</v>
      </c>
      <c r="N76" t="s">
        <v>270</v>
      </c>
      <c r="O76" t="s">
        <v>271</v>
      </c>
      <c r="P76" t="s">
        <v>272</v>
      </c>
      <c r="Q76" t="s">
        <v>273</v>
      </c>
      <c r="U76" t="s">
        <v>268</v>
      </c>
      <c r="V76" t="s">
        <v>269</v>
      </c>
      <c r="W76" t="s">
        <v>270</v>
      </c>
      <c r="X76" t="s">
        <v>271</v>
      </c>
      <c r="Y76" t="s">
        <v>272</v>
      </c>
      <c r="Z76" t="s">
        <v>273</v>
      </c>
    </row>
    <row r="77" spans="2:27">
      <c r="L77" t="s">
        <v>274</v>
      </c>
      <c r="M77" t="s">
        <v>275</v>
      </c>
      <c r="N77" t="s">
        <v>276</v>
      </c>
      <c r="O77" t="s">
        <v>277</v>
      </c>
      <c r="P77" t="s">
        <v>278</v>
      </c>
      <c r="Q77" t="s">
        <v>279</v>
      </c>
      <c r="U77" t="s">
        <v>274</v>
      </c>
      <c r="V77" t="s">
        <v>275</v>
      </c>
      <c r="W77" t="s">
        <v>276</v>
      </c>
      <c r="X77" t="s">
        <v>277</v>
      </c>
      <c r="Y77" t="s">
        <v>278</v>
      </c>
      <c r="Z77" t="s">
        <v>279</v>
      </c>
    </row>
    <row r="78" spans="2:27">
      <c r="B78" s="57" t="s">
        <v>280</v>
      </c>
      <c r="C78" s="57" t="s">
        <v>61</v>
      </c>
      <c r="L78" s="5">
        <v>0.26944129320550042</v>
      </c>
      <c r="M78" s="5">
        <v>-0.20362770408953537</v>
      </c>
      <c r="N78" s="5">
        <v>-0.53289495207546156</v>
      </c>
      <c r="O78" s="5">
        <v>1.2256675932887655</v>
      </c>
      <c r="P78" s="5">
        <v>-0.15909443562100203</v>
      </c>
      <c r="Q78" s="5">
        <v>-0.15061956477396116</v>
      </c>
      <c r="T78" s="152">
        <f t="shared" ref="T78:T87" si="9">Y43</f>
        <v>2.4291878624730305</v>
      </c>
      <c r="U78" s="15">
        <f>($T78-L78)^2</f>
        <v>4.6645052434628669</v>
      </c>
      <c r="V78" s="15">
        <f t="shared" ref="V78:Z93" si="10">($T78-M78)^2</f>
        <v>6.9317178075341657</v>
      </c>
      <c r="W78" s="15">
        <f t="shared" si="10"/>
        <v>8.7739346002435177</v>
      </c>
      <c r="X78" s="15">
        <f t="shared" si="10"/>
        <v>1.4484610383373657</v>
      </c>
      <c r="Y78" s="15">
        <f t="shared" si="10"/>
        <v>6.6992052546269267</v>
      </c>
      <c r="Z78" s="15">
        <f t="shared" si="10"/>
        <v>6.6554063616787422</v>
      </c>
      <c r="AA78" s="161"/>
    </row>
    <row r="79" spans="2:27">
      <c r="B79" s="57" t="s">
        <v>282</v>
      </c>
      <c r="C79" s="57" t="s">
        <v>65</v>
      </c>
      <c r="L79" s="5">
        <v>0.62932154593719669</v>
      </c>
      <c r="M79" s="5">
        <v>0.43756055480037087</v>
      </c>
      <c r="N79" s="5">
        <v>-7.064201547058728E-2</v>
      </c>
      <c r="O79" s="5">
        <v>0.40816068024668062</v>
      </c>
      <c r="P79" s="5">
        <v>-0.64415191604065591</v>
      </c>
      <c r="Q79" s="5">
        <v>-0.71408368497374231</v>
      </c>
      <c r="T79" s="152">
        <f t="shared" si="9"/>
        <v>0.21232591109999163</v>
      </c>
      <c r="U79" s="15">
        <f t="shared" ref="U79:U96" si="11">($T79-L79)^2</f>
        <v>0.17388535947328365</v>
      </c>
      <c r="V79" s="15">
        <f t="shared" si="10"/>
        <v>5.0730644722836782E-2</v>
      </c>
      <c r="W79" s="15">
        <f t="shared" si="10"/>
        <v>8.0070847467652528E-2</v>
      </c>
      <c r="X79" s="15">
        <f t="shared" si="10"/>
        <v>3.8351256806736969E-2</v>
      </c>
      <c r="Y79" s="15">
        <f t="shared" si="10"/>
        <v>0.73355426838356497</v>
      </c>
      <c r="Z79" s="15">
        <f t="shared" si="10"/>
        <v>0.85823473969749897</v>
      </c>
      <c r="AA79" s="161"/>
    </row>
    <row r="80" spans="2:27">
      <c r="B80" s="57" t="s">
        <v>283</v>
      </c>
      <c r="C80" s="57" t="s">
        <v>68</v>
      </c>
      <c r="L80" s="5">
        <v>0.97257491301936683</v>
      </c>
      <c r="M80" s="5">
        <v>-0.16137393682578022</v>
      </c>
      <c r="N80" s="5">
        <v>-0.36297118421064667</v>
      </c>
      <c r="O80" s="5">
        <v>0.49089682061547235</v>
      </c>
      <c r="P80" s="5">
        <v>-0.36235026039382623</v>
      </c>
      <c r="Q80" s="5">
        <v>-0.17262419176327942</v>
      </c>
      <c r="T80" s="152">
        <f t="shared" si="9"/>
        <v>1.5789301702447469</v>
      </c>
      <c r="U80" s="15">
        <f t="shared" si="11"/>
        <v>0.36766669796485685</v>
      </c>
      <c r="V80" s="15">
        <f t="shared" si="10"/>
        <v>3.0286583850865449</v>
      </c>
      <c r="W80" s="15">
        <f t="shared" si="10"/>
        <v>3.7709808704356922</v>
      </c>
      <c r="X80" s="15">
        <f t="shared" si="10"/>
        <v>1.1838165699054994</v>
      </c>
      <c r="Y80" s="15">
        <f t="shared" si="10"/>
        <v>3.7685697103802838</v>
      </c>
      <c r="Z80" s="15">
        <f t="shared" si="10"/>
        <v>3.0679426830693441</v>
      </c>
      <c r="AA80" s="161"/>
    </row>
    <row r="81" spans="2:27">
      <c r="B81" s="57" t="s">
        <v>284</v>
      </c>
      <c r="C81" s="57" t="s">
        <v>71</v>
      </c>
      <c r="L81" s="5">
        <v>0.52123595688901525</v>
      </c>
      <c r="M81" s="5">
        <v>-0.64402339644526196</v>
      </c>
      <c r="N81" s="5">
        <v>0.34610908940764179</v>
      </c>
      <c r="O81" s="5">
        <v>-8.3494082231282338E-2</v>
      </c>
      <c r="P81" s="5">
        <v>-0.32106219858373636</v>
      </c>
      <c r="Q81" s="5">
        <v>0.34724688464392561</v>
      </c>
      <c r="T81" s="152">
        <f t="shared" si="9"/>
        <v>-0.9175560110255141</v>
      </c>
      <c r="U81" s="15">
        <f t="shared" si="11"/>
        <v>2.0701223269353641</v>
      </c>
      <c r="V81" s="15">
        <f t="shared" si="10"/>
        <v>7.4820091239108766E-2</v>
      </c>
      <c r="W81" s="15">
        <f t="shared" si="10"/>
        <v>1.5968494860527378</v>
      </c>
      <c r="X81" s="15">
        <f t="shared" si="10"/>
        <v>0.69565930106395424</v>
      </c>
      <c r="Y81" s="15">
        <f t="shared" si="10"/>
        <v>0.35580486828132679</v>
      </c>
      <c r="Z81" s="15">
        <f t="shared" si="10"/>
        <v>1.5997263648937996</v>
      </c>
      <c r="AA81" s="161"/>
    </row>
    <row r="82" spans="2:27">
      <c r="B82" s="57" t="s">
        <v>285</v>
      </c>
      <c r="C82" s="57" t="s">
        <v>74</v>
      </c>
      <c r="L82" s="5">
        <v>0.26729988730660753</v>
      </c>
      <c r="M82" s="5">
        <v>0.28824137951003714</v>
      </c>
      <c r="N82" s="5">
        <v>0.47576558291317234</v>
      </c>
      <c r="O82" s="5">
        <v>-1.6777627652800708</v>
      </c>
      <c r="P82" s="5">
        <v>0.17019468560884671</v>
      </c>
      <c r="Q82" s="5">
        <v>0.21453417306547837</v>
      </c>
      <c r="T82" s="152">
        <f t="shared" si="9"/>
        <v>-2.2567967414791337</v>
      </c>
      <c r="U82" s="15">
        <f t="shared" si="11"/>
        <v>6.3710637914475443</v>
      </c>
      <c r="V82" s="15">
        <f t="shared" si="10"/>
        <v>6.477219037288088</v>
      </c>
      <c r="W82" s="15">
        <f t="shared" si="10"/>
        <v>7.4668968566882823</v>
      </c>
      <c r="X82" s="15">
        <f t="shared" si="10"/>
        <v>0.33528034559289688</v>
      </c>
      <c r="Y82" s="15">
        <f t="shared" si="10"/>
        <v>5.8902873871585504</v>
      </c>
      <c r="Z82" s="15">
        <f t="shared" si="10"/>
        <v>6.1074764891839086</v>
      </c>
      <c r="AA82" s="161"/>
    </row>
    <row r="83" spans="2:27">
      <c r="B83" s="57" t="s">
        <v>286</v>
      </c>
      <c r="C83" s="57" t="s">
        <v>77</v>
      </c>
      <c r="L83" s="5">
        <v>-0.58174680924804256</v>
      </c>
      <c r="M83" s="5">
        <v>-0.20500938355202702</v>
      </c>
      <c r="N83" s="5">
        <v>-0.26689599472946612</v>
      </c>
      <c r="O83" s="5">
        <v>-1.8838738927542346E-2</v>
      </c>
      <c r="P83" s="5">
        <v>0.43051162185040792</v>
      </c>
      <c r="Q83" s="5">
        <v>0.57759385749438985</v>
      </c>
      <c r="T83" s="152">
        <f t="shared" si="9"/>
        <v>2.1833969503787043</v>
      </c>
      <c r="U83" s="15">
        <f t="shared" si="11"/>
        <v>7.646020011402741</v>
      </c>
      <c r="V83" s="15">
        <f t="shared" si="10"/>
        <v>5.704484815960436</v>
      </c>
      <c r="W83" s="15">
        <f t="shared" si="10"/>
        <v>6.0039355168468722</v>
      </c>
      <c r="X83" s="15">
        <f t="shared" si="10"/>
        <v>4.8498420312541599</v>
      </c>
      <c r="Y83" s="15">
        <f t="shared" si="10"/>
        <v>3.0726069749697533</v>
      </c>
      <c r="Z83" s="15">
        <f t="shared" si="10"/>
        <v>2.5786035731168298</v>
      </c>
      <c r="AA83" s="161"/>
    </row>
    <row r="84" spans="2:27">
      <c r="B84" s="57" t="s">
        <v>287</v>
      </c>
      <c r="C84" s="57" t="s">
        <v>80</v>
      </c>
      <c r="L84" s="5">
        <v>-0.40217119350610336</v>
      </c>
      <c r="M84" s="5">
        <v>-0.1909564513815559</v>
      </c>
      <c r="N84" s="5">
        <v>0.2305577012215819</v>
      </c>
      <c r="O84" s="5">
        <v>-0.28564540304006225</v>
      </c>
      <c r="P84" s="5">
        <v>0.6098443556468659</v>
      </c>
      <c r="Q84" s="5">
        <v>-3.4510898098199627E-2</v>
      </c>
      <c r="T84" s="152">
        <f t="shared" si="9"/>
        <v>-0.15281530709121449</v>
      </c>
      <c r="U84" s="15">
        <f t="shared" si="11"/>
        <v>6.2178358089754963E-2</v>
      </c>
      <c r="V84" s="15">
        <f t="shared" si="10"/>
        <v>1.4547468877766428E-3</v>
      </c>
      <c r="W84" s="15">
        <f t="shared" si="10"/>
        <v>0.14697486350280348</v>
      </c>
      <c r="X84" s="15">
        <f t="shared" si="10"/>
        <v>1.7643834389780101E-2</v>
      </c>
      <c r="Y84" s="15">
        <f t="shared" si="10"/>
        <v>0.58164976116776257</v>
      </c>
      <c r="Z84" s="15">
        <f t="shared" si="10"/>
        <v>1.3995933187186536E-2</v>
      </c>
      <c r="AA84" s="161"/>
    </row>
    <row r="85" spans="2:27">
      <c r="B85" s="57" t="s">
        <v>288</v>
      </c>
      <c r="C85" s="57" t="s">
        <v>83</v>
      </c>
      <c r="L85" s="5">
        <v>-1.2393737686784749</v>
      </c>
      <c r="M85" s="5">
        <v>0.59866169755389653</v>
      </c>
      <c r="N85" s="5">
        <v>0.37533674516860677</v>
      </c>
      <c r="O85" s="5">
        <v>-7.5687351936608568E-2</v>
      </c>
      <c r="P85" s="5">
        <v>-0.52232499645552821</v>
      </c>
      <c r="Q85" s="5">
        <v>7.4217645957303902E-2</v>
      </c>
      <c r="T85" s="152">
        <f t="shared" si="9"/>
        <v>-2.7076685945591659</v>
      </c>
      <c r="U85" s="15">
        <f t="shared" si="11"/>
        <v>2.1558896957080087</v>
      </c>
      <c r="V85" s="15">
        <f t="shared" si="10"/>
        <v>10.93182000054445</v>
      </c>
      <c r="W85" s="15">
        <f t="shared" si="10"/>
        <v>9.5049219247899579</v>
      </c>
      <c r="X85" s="15">
        <f t="shared" si="10"/>
        <v>6.9273252615169811</v>
      </c>
      <c r="Y85" s="15">
        <f t="shared" si="10"/>
        <v>4.7757266417725539</v>
      </c>
      <c r="Z85" s="15">
        <f t="shared" si="10"/>
        <v>7.7388910551748591</v>
      </c>
      <c r="AA85" s="161"/>
    </row>
    <row r="86" spans="2:27">
      <c r="B86" s="57" t="s">
        <v>289</v>
      </c>
      <c r="C86" s="57" t="s">
        <v>86</v>
      </c>
      <c r="L86" s="5">
        <v>0.36544626714364425</v>
      </c>
      <c r="M86" s="5">
        <v>-0.37256086614513634</v>
      </c>
      <c r="N86" s="5">
        <v>-0.42803114146141041</v>
      </c>
      <c r="O86" s="5">
        <v>-6.1250320773431635E-2</v>
      </c>
      <c r="P86" s="5">
        <v>1.0255755231108477</v>
      </c>
      <c r="Q86" s="5">
        <v>5.5091745729392199E-3</v>
      </c>
      <c r="T86" s="152">
        <f t="shared" si="9"/>
        <v>-0.88069721036565218</v>
      </c>
      <c r="U86" s="15">
        <f t="shared" si="11"/>
        <v>1.5528735665389626</v>
      </c>
      <c r="V86" s="15">
        <f t="shared" si="10"/>
        <v>0.25820254431779049</v>
      </c>
      <c r="W86" s="15">
        <f t="shared" si="10"/>
        <v>0.20490656993721976</v>
      </c>
      <c r="X86" s="15">
        <f t="shared" si="10"/>
        <v>0.67149320486236497</v>
      </c>
      <c r="Y86" s="15">
        <f t="shared" si="10"/>
        <v>3.6338757343959669</v>
      </c>
      <c r="Z86" s="15">
        <f t="shared" si="10"/>
        <v>0.78536175670592678</v>
      </c>
      <c r="AA86" s="161"/>
    </row>
    <row r="87" spans="2:27">
      <c r="B87" s="57" t="s">
        <v>290</v>
      </c>
      <c r="C87" s="57" t="s">
        <v>89</v>
      </c>
      <c r="L87" s="5">
        <v>-0.8109371557661611</v>
      </c>
      <c r="M87" s="5">
        <v>0.47502291941382341</v>
      </c>
      <c r="N87" s="5">
        <v>0.1945361570599104</v>
      </c>
      <c r="O87" s="5">
        <v>0.15864909136647018</v>
      </c>
      <c r="P87" s="5">
        <v>-0.28921277679783042</v>
      </c>
      <c r="Q87" s="5">
        <v>-0.14573686231020144</v>
      </c>
      <c r="T87" s="152">
        <f t="shared" si="9"/>
        <v>0.39839485810477632</v>
      </c>
      <c r="U87" s="15">
        <f t="shared" si="11"/>
        <v>1.462483919773137</v>
      </c>
      <c r="V87" s="15">
        <f t="shared" si="10"/>
        <v>5.87185977998308E-3</v>
      </c>
      <c r="W87" s="15">
        <f t="shared" si="10"/>
        <v>4.1558369991700018E-2</v>
      </c>
      <c r="X87" s="15">
        <f t="shared" si="10"/>
        <v>5.7478032668938299E-2</v>
      </c>
      <c r="Y87" s="15">
        <f t="shared" si="10"/>
        <v>0.47280425957635658</v>
      </c>
      <c r="Z87" s="15">
        <f t="shared" si="10"/>
        <v>0.2960793291617636</v>
      </c>
      <c r="AA87" s="161"/>
    </row>
    <row r="88" spans="2:27">
      <c r="B88" s="166" t="s">
        <v>38</v>
      </c>
      <c r="C88" s="166" t="s">
        <v>428</v>
      </c>
      <c r="D88" s="126"/>
      <c r="E88" s="126"/>
      <c r="F88" s="126"/>
      <c r="G88" s="126"/>
      <c r="H88" s="126"/>
      <c r="I88" s="126"/>
      <c r="J88" s="126"/>
      <c r="K88" s="126"/>
      <c r="L88" s="167">
        <v>-0.16306113847584006</v>
      </c>
      <c r="M88" s="167">
        <v>0.50874595032542236</v>
      </c>
      <c r="N88" s="167">
        <v>0.14940621618471173</v>
      </c>
      <c r="O88" s="167">
        <v>-0.10588057299809567</v>
      </c>
      <c r="P88" s="167">
        <v>-0.34555816411356088</v>
      </c>
      <c r="Q88" s="167">
        <v>-0.45160412088327584</v>
      </c>
      <c r="R88" s="126"/>
      <c r="S88" s="126"/>
      <c r="T88" s="175">
        <f>Y25</f>
        <v>0.75272294327752698</v>
      </c>
      <c r="U88" s="176">
        <f t="shared" si="11"/>
        <v>0.83866048439285756</v>
      </c>
      <c r="V88" s="176">
        <f t="shared" si="10"/>
        <v>5.9524773089951306E-2</v>
      </c>
      <c r="W88" s="176">
        <f t="shared" si="10"/>
        <v>0.36399107318998652</v>
      </c>
      <c r="X88" s="176">
        <f t="shared" si="10"/>
        <v>0.73719999816086346</v>
      </c>
      <c r="Y88" s="176">
        <f t="shared" si="10"/>
        <v>1.2062213908521944</v>
      </c>
      <c r="Z88" s="176">
        <f t="shared" si="10"/>
        <v>1.4504036774701785</v>
      </c>
      <c r="AA88" s="161"/>
    </row>
    <row r="89" spans="2:27">
      <c r="B89" s="166" t="s">
        <v>292</v>
      </c>
      <c r="C89" s="166" t="s">
        <v>429</v>
      </c>
      <c r="D89" s="126"/>
      <c r="E89" s="126"/>
      <c r="F89" s="126"/>
      <c r="G89" s="126"/>
      <c r="H89" s="126"/>
      <c r="I89" s="126"/>
      <c r="J89" s="126"/>
      <c r="K89" s="126"/>
      <c r="L89" s="167">
        <v>0.23756554564557936</v>
      </c>
      <c r="M89" s="167">
        <v>-0.25041557543069765</v>
      </c>
      <c r="N89" s="167">
        <v>-9.4253862193619781E-2</v>
      </c>
      <c r="O89" s="167">
        <v>1.7665685076460987E-2</v>
      </c>
      <c r="P89" s="167">
        <v>0.30950362243433743</v>
      </c>
      <c r="Q89" s="167">
        <v>0.16054651582829285</v>
      </c>
      <c r="R89" s="126"/>
      <c r="S89" s="126"/>
      <c r="T89" s="175">
        <f>Y26</f>
        <v>0.36626647534308038</v>
      </c>
      <c r="U89" s="176">
        <f t="shared" si="11"/>
        <v>1.6563929305001099E-2</v>
      </c>
      <c r="V89" s="176">
        <f t="shared" si="10"/>
        <v>0.38029675174655253</v>
      </c>
      <c r="W89" s="176">
        <f t="shared" si="10"/>
        <v>0.21207898128491626</v>
      </c>
      <c r="X89" s="176">
        <f t="shared" si="10"/>
        <v>0.12152251097451156</v>
      </c>
      <c r="Y89" s="176">
        <f t="shared" si="10"/>
        <v>3.2220214703395874E-3</v>
      </c>
      <c r="Z89" s="176">
        <f t="shared" si="10"/>
        <v>4.2320701742765816E-2</v>
      </c>
      <c r="AA89" s="161"/>
    </row>
    <row r="90" spans="2:27">
      <c r="B90" s="166" t="s">
        <v>294</v>
      </c>
      <c r="C90" s="166" t="s">
        <v>430</v>
      </c>
      <c r="D90" s="126"/>
      <c r="E90" s="126"/>
      <c r="F90" s="126"/>
      <c r="G90" s="126"/>
      <c r="H90" s="126"/>
      <c r="I90" s="126"/>
      <c r="J90" s="126"/>
      <c r="K90" s="126"/>
      <c r="L90" s="167">
        <v>-0.13742996853761372</v>
      </c>
      <c r="M90" s="167">
        <v>-6.6477827358639085E-3</v>
      </c>
      <c r="N90" s="167">
        <v>0.51879040340601812</v>
      </c>
      <c r="O90" s="167">
        <v>-0.47263556480205443</v>
      </c>
      <c r="P90" s="167">
        <v>0.32815170693072021</v>
      </c>
      <c r="Q90" s="167">
        <v>-0.23548421427831004</v>
      </c>
      <c r="R90" s="126"/>
      <c r="S90" s="126"/>
      <c r="T90" s="175">
        <f>Y27</f>
        <v>1.1318590853606607</v>
      </c>
      <c r="U90" s="176">
        <f t="shared" si="11"/>
        <v>1.6110947023459765</v>
      </c>
      <c r="V90" s="176">
        <f t="shared" si="10"/>
        <v>1.2961978887029575</v>
      </c>
      <c r="W90" s="176">
        <f t="shared" si="10"/>
        <v>0.37585320879360273</v>
      </c>
      <c r="X90" s="176">
        <f t="shared" si="10"/>
        <v>2.5744030824007735</v>
      </c>
      <c r="Y90" s="176">
        <f t="shared" si="10"/>
        <v>0.64594555014272748</v>
      </c>
      <c r="Z90" s="176">
        <f t="shared" si="10"/>
        <v>1.869627699067588</v>
      </c>
      <c r="AA90" s="161"/>
    </row>
    <row r="91" spans="2:27">
      <c r="B91" s="166" t="s">
        <v>296</v>
      </c>
      <c r="C91" s="166" t="s">
        <v>431</v>
      </c>
      <c r="D91" s="126"/>
      <c r="E91" s="126"/>
      <c r="F91" s="126"/>
      <c r="G91" s="126"/>
      <c r="H91" s="126"/>
      <c r="I91" s="126"/>
      <c r="J91" s="126"/>
      <c r="K91" s="126"/>
      <c r="L91" s="167">
        <v>0.11017980343249904</v>
      </c>
      <c r="M91" s="167">
        <v>0.3717097363976879</v>
      </c>
      <c r="N91" s="167">
        <v>-0.52416956354427968</v>
      </c>
      <c r="O91" s="167">
        <v>0.3026249908073308</v>
      </c>
      <c r="P91" s="167">
        <v>0.61450628701642895</v>
      </c>
      <c r="Q91" s="167">
        <v>-0.67901123119826956</v>
      </c>
      <c r="R91" s="126"/>
      <c r="S91" s="126"/>
      <c r="T91" s="175">
        <f>Y34</f>
        <v>-1.6157808011180799</v>
      </c>
      <c r="U91" s="176">
        <f t="shared" si="11"/>
        <v>2.9789400084605995</v>
      </c>
      <c r="V91" s="176">
        <f t="shared" si="10"/>
        <v>3.950118636714715</v>
      </c>
      <c r="W91" s="176">
        <f t="shared" si="10"/>
        <v>1.1916150939974033</v>
      </c>
      <c r="X91" s="176">
        <f t="shared" si="10"/>
        <v>3.6802807824929622</v>
      </c>
      <c r="Y91" s="176">
        <f t="shared" si="10"/>
        <v>4.9741804954995059</v>
      </c>
      <c r="Z91" s="176">
        <f t="shared" si="10"/>
        <v>0.8775372271277464</v>
      </c>
      <c r="AA91" s="161"/>
    </row>
    <row r="92" spans="2:27">
      <c r="B92" s="166" t="s">
        <v>48</v>
      </c>
      <c r="C92" s="166" t="s">
        <v>432</v>
      </c>
      <c r="D92" s="126"/>
      <c r="E92" s="126"/>
      <c r="F92" s="126"/>
      <c r="G92" s="126"/>
      <c r="H92" s="126"/>
      <c r="I92" s="126"/>
      <c r="J92" s="126"/>
      <c r="K92" s="126"/>
      <c r="L92" s="167">
        <v>0.11044713591224123</v>
      </c>
      <c r="M92" s="167">
        <v>0.51004057246965717</v>
      </c>
      <c r="N92" s="167">
        <v>-0.88360267338068588</v>
      </c>
      <c r="O92" s="167">
        <v>0.32322955153403232</v>
      </c>
      <c r="P92" s="167">
        <v>0.53750108280402187</v>
      </c>
      <c r="Q92" s="167">
        <v>-0.69101906395426915</v>
      </c>
      <c r="R92" s="126"/>
      <c r="S92" s="126"/>
      <c r="T92" s="175">
        <f>Y35</f>
        <v>-1.5317253591350539</v>
      </c>
      <c r="U92" s="176">
        <f t="shared" si="11"/>
        <v>2.6967305034898583</v>
      </c>
      <c r="V92" s="176">
        <f t="shared" si="10"/>
        <v>4.1688081194616533</v>
      </c>
      <c r="W92" s="176">
        <f t="shared" si="10"/>
        <v>0.42006301578945532</v>
      </c>
      <c r="X92" s="176">
        <f t="shared" si="10"/>
        <v>3.4408577206153574</v>
      </c>
      <c r="Y92" s="176">
        <f t="shared" si="10"/>
        <v>4.281698068019848</v>
      </c>
      <c r="Z92" s="176">
        <f t="shared" si="10"/>
        <v>0.70678707475660085</v>
      </c>
      <c r="AA92" s="161"/>
    </row>
    <row r="93" spans="2:27">
      <c r="B93" s="166" t="s">
        <v>299</v>
      </c>
      <c r="C93" s="166" t="s">
        <v>433</v>
      </c>
      <c r="D93" s="126"/>
      <c r="E93" s="126"/>
      <c r="F93" s="126"/>
      <c r="G93" s="126"/>
      <c r="H93" s="126"/>
      <c r="I93" s="126"/>
      <c r="J93" s="126"/>
      <c r="K93" s="126"/>
      <c r="L93" s="167">
        <v>-0.19547807262998576</v>
      </c>
      <c r="M93" s="167">
        <v>0.62208332729671767</v>
      </c>
      <c r="N93" s="167">
        <v>-0.3973199391070128</v>
      </c>
      <c r="O93" s="167">
        <v>-2.3264562088011378E-2</v>
      </c>
      <c r="P93" s="167">
        <v>0.52534574022195024</v>
      </c>
      <c r="Q93" s="167">
        <v>-0.87004319224938553</v>
      </c>
      <c r="R93" s="126"/>
      <c r="S93" s="126"/>
      <c r="T93" s="175">
        <f>Y36</f>
        <v>-1.6528017327824793</v>
      </c>
      <c r="U93" s="176">
        <f t="shared" si="11"/>
        <v>2.1237922504402604</v>
      </c>
      <c r="V93" s="176">
        <f t="shared" si="10"/>
        <v>5.1751020365715314</v>
      </c>
      <c r="W93" s="176">
        <f t="shared" si="10"/>
        <v>1.5762345342505668</v>
      </c>
      <c r="X93" s="176">
        <f t="shared" si="10"/>
        <v>2.6553913906749314</v>
      </c>
      <c r="Y93" s="176">
        <f t="shared" si="10"/>
        <v>4.7443264141555819</v>
      </c>
      <c r="Z93" s="176">
        <f t="shared" si="10"/>
        <v>0.612710932777499</v>
      </c>
      <c r="AA93" s="161"/>
    </row>
    <row r="94" spans="2:27">
      <c r="B94" s="166" t="s">
        <v>301</v>
      </c>
      <c r="C94" s="166" t="s">
        <v>434</v>
      </c>
      <c r="D94" s="126"/>
      <c r="E94" s="126"/>
      <c r="F94" s="126"/>
      <c r="G94" s="167"/>
      <c r="H94" s="126"/>
      <c r="I94" s="126"/>
      <c r="J94" s="126"/>
      <c r="K94" s="126"/>
      <c r="L94" s="167">
        <v>-0.66609840875147552</v>
      </c>
      <c r="M94" s="167">
        <v>0.43163706702379318</v>
      </c>
      <c r="N94" s="167">
        <v>0.62507815681130829</v>
      </c>
      <c r="O94" s="167">
        <v>-0.61712636351021954</v>
      </c>
      <c r="P94" s="167">
        <v>0.23012223600752385</v>
      </c>
      <c r="Q94" s="167">
        <v>-0.58904589600859181</v>
      </c>
      <c r="R94" s="126"/>
      <c r="S94" s="126"/>
      <c r="T94" s="175">
        <f>Y25</f>
        <v>0.75272294327752698</v>
      </c>
      <c r="U94" s="176">
        <f t="shared" si="11"/>
        <v>2.0130540289734067</v>
      </c>
      <c r="V94" s="176">
        <f t="shared" ref="V94:V96" si="12">($T94-M94)^2</f>
        <v>0.10309613992962806</v>
      </c>
      <c r="W94" s="176">
        <f t="shared" ref="W94:W96" si="13">($T94-N94)^2</f>
        <v>1.6293191512006564E-2</v>
      </c>
      <c r="X94" s="176">
        <f t="shared" ref="X94:X96" si="14">($T94-O94)^2</f>
        <v>1.8764871233068701</v>
      </c>
      <c r="Y94" s="176">
        <f t="shared" ref="Y94:Y96" si="15">($T94-P94)^2</f>
        <v>0.27311149923910755</v>
      </c>
      <c r="Z94" s="176">
        <f t="shared" ref="Z94:Z96" si="16">($T94-Q94)^2</f>
        <v>1.8003436180792187</v>
      </c>
      <c r="AA94" s="161"/>
    </row>
    <row r="95" spans="2:27">
      <c r="B95" s="166" t="s">
        <v>303</v>
      </c>
      <c r="C95" s="166" t="s">
        <v>435</v>
      </c>
      <c r="D95" s="126"/>
      <c r="E95" s="126"/>
      <c r="F95" s="126"/>
      <c r="G95" s="126"/>
      <c r="H95" s="126"/>
      <c r="I95" s="126"/>
      <c r="J95" s="126"/>
      <c r="K95" s="126"/>
      <c r="L95" s="167">
        <v>-0.1482072175530143</v>
      </c>
      <c r="M95" s="167">
        <v>7.0506385600201602E-2</v>
      </c>
      <c r="N95" s="167">
        <v>0.40668552813149872</v>
      </c>
      <c r="O95" s="167">
        <v>-0.40691321635103617</v>
      </c>
      <c r="P95" s="167">
        <v>0.25456074830794256</v>
      </c>
      <c r="Q95" s="167">
        <v>-0.36367818895452025</v>
      </c>
      <c r="R95" s="126"/>
      <c r="S95" s="126"/>
      <c r="T95" s="175">
        <f>Y7</f>
        <v>-0.64106573880407369</v>
      </c>
      <c r="U95" s="176">
        <f t="shared" si="11"/>
        <v>0.24290952196978097</v>
      </c>
      <c r="V95" s="176">
        <f t="shared" si="12"/>
        <v>0.50633488822921346</v>
      </c>
      <c r="W95" s="176">
        <f t="shared" si="13"/>
        <v>1.0977827173650971</v>
      </c>
      <c r="X95" s="176">
        <f t="shared" si="14"/>
        <v>5.4827403771120241E-2</v>
      </c>
      <c r="Y95" s="176">
        <f t="shared" si="15"/>
        <v>0.80214680441661068</v>
      </c>
      <c r="Z95" s="176">
        <f t="shared" si="16"/>
        <v>7.6943852811538496E-2</v>
      </c>
      <c r="AA95" s="161"/>
    </row>
    <row r="96" spans="2:27">
      <c r="B96" s="166" t="s">
        <v>17</v>
      </c>
      <c r="C96" s="166" t="s">
        <v>436</v>
      </c>
      <c r="D96" s="126"/>
      <c r="E96" s="126"/>
      <c r="F96" s="126"/>
      <c r="G96" s="126"/>
      <c r="H96" s="126"/>
      <c r="I96" s="126"/>
      <c r="J96" s="126"/>
      <c r="K96" s="126"/>
      <c r="L96" s="167">
        <v>-0.2067105516842305</v>
      </c>
      <c r="M96" s="167">
        <v>0.27271545127294389</v>
      </c>
      <c r="N96" s="167">
        <v>0.78569574406880283</v>
      </c>
      <c r="O96" s="167">
        <v>-0.72789200846018598</v>
      </c>
      <c r="P96" s="167">
        <v>0.21381349151658766</v>
      </c>
      <c r="Q96" s="167">
        <v>-0.49365115358420264</v>
      </c>
      <c r="R96" s="126"/>
      <c r="S96" s="126"/>
      <c r="T96" s="175">
        <f>Y8</f>
        <v>-2.7572446861574602</v>
      </c>
      <c r="U96" s="177">
        <f t="shared" si="11"/>
        <v>6.5052243711131075</v>
      </c>
      <c r="V96" s="177">
        <f t="shared" si="12"/>
        <v>9.180658434417273</v>
      </c>
      <c r="W96" s="177">
        <f t="shared" si="13"/>
        <v>12.552426892131859</v>
      </c>
      <c r="X96" s="177">
        <f t="shared" si="14"/>
        <v>4.1182722904770968</v>
      </c>
      <c r="Y96" s="177">
        <f t="shared" si="15"/>
        <v>8.8271866951238334</v>
      </c>
      <c r="Z96" s="177">
        <f t="shared" si="16"/>
        <v>5.1238556807074795</v>
      </c>
      <c r="AA96" s="161"/>
    </row>
    <row r="97" spans="2:27" ht="15.75">
      <c r="B97" s="106" t="s">
        <v>306</v>
      </c>
      <c r="U97" s="163">
        <f>SUM(U78:U96)</f>
        <v>45.553658771287367</v>
      </c>
      <c r="V97" s="163">
        <f t="shared" ref="V97:Z97" si="17">SUM(V78:V96)</f>
        <v>58.285117602224645</v>
      </c>
      <c r="W97" s="163">
        <f t="shared" si="17"/>
        <v>55.397368614271329</v>
      </c>
      <c r="X97" s="165">
        <f>SUM($X78:X96)</f>
        <v>35.484593179273169</v>
      </c>
      <c r="Y97" s="163">
        <f t="shared" si="17"/>
        <v>55.7421237996328</v>
      </c>
      <c r="Z97" s="163">
        <f t="shared" si="17"/>
        <v>42.262248750410471</v>
      </c>
      <c r="AA97" s="162"/>
    </row>
    <row r="98" spans="2:27" ht="15.75">
      <c r="B98" s="106" t="s">
        <v>307</v>
      </c>
      <c r="U98" s="163">
        <f>1-($X97/U97)</f>
        <v>0.22103747237007376</v>
      </c>
      <c r="V98" s="163">
        <f t="shared" ref="V98:Z98" si="18">1-($X97/V97)</f>
        <v>0.39118947273225058</v>
      </c>
      <c r="W98" s="163">
        <f t="shared" si="18"/>
        <v>0.35945345299069464</v>
      </c>
      <c r="X98" s="163">
        <f t="shared" si="18"/>
        <v>0</v>
      </c>
      <c r="Y98" s="163">
        <f t="shared" si="18"/>
        <v>0.36341512019125966</v>
      </c>
      <c r="Z98" s="163">
        <f t="shared" si="18"/>
        <v>0.1603713898700545</v>
      </c>
      <c r="AA98" s="162"/>
    </row>
    <row r="99" spans="2:27" ht="15.75">
      <c r="B99" s="106" t="s">
        <v>308</v>
      </c>
      <c r="U99" s="163"/>
      <c r="V99" s="163"/>
      <c r="W99" s="163"/>
      <c r="X99" s="163"/>
      <c r="Y99" s="163"/>
      <c r="Z99" s="163"/>
      <c r="AA99" s="162"/>
    </row>
    <row r="100" spans="2:27" ht="15.75">
      <c r="B100" s="106" t="s">
        <v>309</v>
      </c>
      <c r="U100" s="163"/>
      <c r="V100" s="163"/>
      <c r="W100" s="163"/>
      <c r="X100" s="163"/>
      <c r="Y100" s="163"/>
      <c r="Z100" s="163"/>
      <c r="AA100" s="162"/>
    </row>
    <row r="101" spans="2:27">
      <c r="U101" s="163"/>
      <c r="V101" s="163"/>
      <c r="W101" s="163"/>
      <c r="X101" s="163"/>
      <c r="Y101" s="163"/>
      <c r="Z101" s="163"/>
      <c r="AA101" s="162"/>
    </row>
    <row r="102" spans="2:27">
      <c r="L102" t="s">
        <v>146</v>
      </c>
      <c r="M102" t="s">
        <v>147</v>
      </c>
      <c r="N102" t="s">
        <v>148</v>
      </c>
      <c r="O102" t="s">
        <v>149</v>
      </c>
      <c r="P102" t="s">
        <v>150</v>
      </c>
      <c r="Q102" t="s">
        <v>151</v>
      </c>
      <c r="U102" s="163"/>
      <c r="V102" s="163"/>
      <c r="W102" s="163"/>
      <c r="X102" s="163"/>
      <c r="Y102" s="163"/>
      <c r="Z102" s="163"/>
      <c r="AA102" s="162"/>
    </row>
    <row r="103" spans="2:27">
      <c r="B103" t="s">
        <v>152</v>
      </c>
      <c r="C103" s="57" t="s">
        <v>61</v>
      </c>
      <c r="L103">
        <v>-0.61955610000000005</v>
      </c>
      <c r="M103">
        <v>-0.18914420000000001</v>
      </c>
      <c r="N103">
        <v>-0.20569580000000001</v>
      </c>
      <c r="O103">
        <v>0.27581329999999998</v>
      </c>
      <c r="P103">
        <v>1.1020487999999999</v>
      </c>
      <c r="Q103">
        <v>-0.43911410000000001</v>
      </c>
    </row>
    <row r="104" spans="2:27">
      <c r="B104" t="s">
        <v>153</v>
      </c>
      <c r="C104" s="57" t="s">
        <v>65</v>
      </c>
      <c r="L104">
        <v>-0.10326780000000001</v>
      </c>
      <c r="M104">
        <v>-0.64100460000000004</v>
      </c>
      <c r="N104">
        <v>-0.56009260000000005</v>
      </c>
      <c r="O104">
        <v>0.21961130000000001</v>
      </c>
      <c r="P104">
        <v>0.5993271</v>
      </c>
      <c r="Q104">
        <v>0.36702659999999998</v>
      </c>
    </row>
    <row r="105" spans="2:27">
      <c r="B105" t="s">
        <v>154</v>
      </c>
      <c r="C105" s="57" t="s">
        <v>68</v>
      </c>
      <c r="L105">
        <v>-0.37433450000000001</v>
      </c>
      <c r="M105">
        <v>-0.64428399999999997</v>
      </c>
      <c r="N105">
        <v>-0.42174790000000001</v>
      </c>
      <c r="O105">
        <v>0.94298340000000003</v>
      </c>
      <c r="P105">
        <v>0.23985090000000001</v>
      </c>
      <c r="Q105">
        <v>-0.35583019999999999</v>
      </c>
    </row>
    <row r="106" spans="2:27">
      <c r="B106" t="s">
        <v>155</v>
      </c>
      <c r="C106" s="57" t="s">
        <v>71</v>
      </c>
      <c r="L106">
        <v>0.31059750000000003</v>
      </c>
      <c r="M106">
        <v>-0.51697919999999997</v>
      </c>
      <c r="N106">
        <v>0.53883669999999995</v>
      </c>
      <c r="O106">
        <v>0.44203900000000002</v>
      </c>
      <c r="P106">
        <v>-4.1602500000000001E-2</v>
      </c>
      <c r="Q106">
        <v>-0.52379039999999999</v>
      </c>
    </row>
    <row r="107" spans="2:27">
      <c r="B107" t="s">
        <v>156</v>
      </c>
      <c r="C107" s="57" t="s">
        <v>74</v>
      </c>
      <c r="L107">
        <v>0.65947160000000005</v>
      </c>
      <c r="M107">
        <v>0.2388004</v>
      </c>
      <c r="N107">
        <v>0.28749930000000001</v>
      </c>
      <c r="O107">
        <v>0.33139420000000003</v>
      </c>
      <c r="P107">
        <v>-1.4513895999999999</v>
      </c>
      <c r="Q107">
        <v>0.3404199</v>
      </c>
    </row>
    <row r="108" spans="2:27">
      <c r="B108" t="s">
        <v>157</v>
      </c>
      <c r="C108" s="57" t="s">
        <v>77</v>
      </c>
      <c r="L108">
        <v>-0.20327500000000001</v>
      </c>
      <c r="M108">
        <v>4.1822999999999999E-2</v>
      </c>
      <c r="N108">
        <v>0.36492000000000002</v>
      </c>
      <c r="O108">
        <v>-4.1264500000000003E-2</v>
      </c>
      <c r="P108">
        <v>-0.28184399999999998</v>
      </c>
      <c r="Q108">
        <v>-6.7285700000000004E-2</v>
      </c>
    </row>
    <row r="109" spans="2:27">
      <c r="B109" t="s">
        <v>158</v>
      </c>
      <c r="C109" s="57" t="s">
        <v>80</v>
      </c>
      <c r="L109">
        <v>7.9979999999999996E-2</v>
      </c>
      <c r="M109">
        <v>0.82180350000000002</v>
      </c>
      <c r="N109">
        <v>1.6168200000000001E-2</v>
      </c>
      <c r="O109">
        <v>-0.58447099999999996</v>
      </c>
      <c r="P109">
        <v>-0.28064440000000002</v>
      </c>
      <c r="Q109">
        <v>-8.9934799999999995E-2</v>
      </c>
    </row>
    <row r="110" spans="2:27">
      <c r="B110" t="s">
        <v>159</v>
      </c>
      <c r="C110" s="57" t="s">
        <v>83</v>
      </c>
      <c r="L110">
        <v>0.6328414</v>
      </c>
      <c r="M110">
        <v>-0.2130098</v>
      </c>
      <c r="N110">
        <v>0.16366900000000001</v>
      </c>
      <c r="O110">
        <v>-0.97640490000000002</v>
      </c>
      <c r="P110">
        <v>0.16454579999999999</v>
      </c>
      <c r="Q110">
        <v>0.65916520000000001</v>
      </c>
    </row>
    <row r="111" spans="2:27">
      <c r="B111" t="s">
        <v>160</v>
      </c>
      <c r="C111" s="57" t="s">
        <v>86</v>
      </c>
      <c r="L111">
        <v>-0.72108819999999996</v>
      </c>
      <c r="M111">
        <v>1.0038404999999999</v>
      </c>
      <c r="N111">
        <v>-9.8637299999999997E-2</v>
      </c>
      <c r="O111">
        <v>0.1098268</v>
      </c>
      <c r="P111">
        <v>-0.20952580000000001</v>
      </c>
      <c r="Q111">
        <v>-0.55637400000000004</v>
      </c>
    </row>
    <row r="112" spans="2:27">
      <c r="B112" t="s">
        <v>161</v>
      </c>
      <c r="C112" s="57" t="s">
        <v>89</v>
      </c>
      <c r="L112">
        <v>0.26279609999999998</v>
      </c>
      <c r="M112">
        <v>-0.1268389</v>
      </c>
      <c r="N112">
        <v>-4.8404900000000001E-2</v>
      </c>
      <c r="O112">
        <v>-0.65115029999999996</v>
      </c>
      <c r="P112">
        <v>0.44821070000000002</v>
      </c>
      <c r="Q112">
        <v>0.5718588</v>
      </c>
    </row>
    <row r="113" spans="2:17">
      <c r="B113" t="s">
        <v>162</v>
      </c>
      <c r="C113" t="s">
        <v>162</v>
      </c>
      <c r="L113">
        <v>0.70308170000000003</v>
      </c>
      <c r="M113">
        <v>5.8883100000000001E-2</v>
      </c>
      <c r="N113">
        <v>-0.36951679999999998</v>
      </c>
      <c r="O113">
        <v>-0.24211840000000001</v>
      </c>
      <c r="P113">
        <v>-0.76600990000000002</v>
      </c>
      <c r="Q113">
        <v>0.3211019</v>
      </c>
    </row>
    <row r="114" spans="2:17">
      <c r="B114" t="s">
        <v>163</v>
      </c>
      <c r="C114" t="s">
        <v>163</v>
      </c>
      <c r="L114">
        <v>0.19029450000000001</v>
      </c>
      <c r="M114">
        <v>-0.16004189999999999</v>
      </c>
      <c r="N114">
        <v>-0.33129560000000002</v>
      </c>
      <c r="O114">
        <v>-0.31196430000000003</v>
      </c>
      <c r="P114">
        <v>5.2972999999999996E-3</v>
      </c>
      <c r="Q114">
        <v>0.45892440000000001</v>
      </c>
    </row>
    <row r="115" spans="2:17">
      <c r="B115" t="s">
        <v>164</v>
      </c>
      <c r="C115" t="s">
        <v>164</v>
      </c>
      <c r="L115">
        <v>0.48921110000000001</v>
      </c>
      <c r="M115">
        <v>0.21572730000000001</v>
      </c>
      <c r="N115">
        <v>-0.3631568</v>
      </c>
      <c r="O115">
        <v>-0.49473719999999999</v>
      </c>
      <c r="P115">
        <v>-0.46150659999999999</v>
      </c>
      <c r="Q115">
        <v>0.2974851</v>
      </c>
    </row>
    <row r="116" spans="2:17">
      <c r="B116" t="s">
        <v>165</v>
      </c>
      <c r="C116" t="s">
        <v>165</v>
      </c>
      <c r="L116">
        <v>0.51548910000000003</v>
      </c>
      <c r="M116">
        <v>6.5332200000000007E-2</v>
      </c>
      <c r="N116">
        <v>1.7420000000000001E-4</v>
      </c>
      <c r="O116">
        <v>-0.37011919999999998</v>
      </c>
      <c r="P116">
        <v>-0.40889609999999998</v>
      </c>
      <c r="Q116">
        <v>-6.8578600000000003E-2</v>
      </c>
    </row>
    <row r="117" spans="2:17" ht="15.75">
      <c r="D117" s="106"/>
    </row>
  </sheetData>
  <mergeCells count="22">
    <mergeCell ref="H31:I31"/>
    <mergeCell ref="M31:N31"/>
    <mergeCell ref="C25:G25"/>
    <mergeCell ref="C26:G26"/>
    <mergeCell ref="C27:G27"/>
    <mergeCell ref="C28:G28"/>
    <mergeCell ref="O25:S25"/>
    <mergeCell ref="O26:S26"/>
    <mergeCell ref="O27:S27"/>
    <mergeCell ref="O28:S28"/>
    <mergeCell ref="L12:L13"/>
    <mergeCell ref="M12:M13"/>
    <mergeCell ref="N12:N13"/>
    <mergeCell ref="L2:L3"/>
    <mergeCell ref="M2:M3"/>
    <mergeCell ref="N2:N3"/>
    <mergeCell ref="I12:I13"/>
    <mergeCell ref="J12:J13"/>
    <mergeCell ref="K12:K13"/>
    <mergeCell ref="I2:I3"/>
    <mergeCell ref="J2:J3"/>
    <mergeCell ref="K2:K3"/>
  </mergeCells>
  <phoneticPr fontId="2" type="noConversion"/>
  <dataValidations count="2">
    <dataValidation type="list" allowBlank="1" showInputMessage="1" showErrorMessage="1" sqref="T6:T10 T25:T28 T34:T38 T16:T21" xr:uid="{69722C94-7AB4-4663-99BB-ACD3B6F5F49D}">
      <formula1>$H$4:$N$4</formula1>
    </dataValidation>
    <dataValidation type="list" allowBlank="1" showInputMessage="1" showErrorMessage="1" sqref="G43 G45 G47 G49 H44 I51 J46 I49 H50 I47 H48 I45 H46 J52:K52 J50 J48 L49:M49 N43 K43:K44 N52 K51 L50 L45 L46:M46 M47:N48" xr:uid="{760238BC-03F9-4EC4-8C63-0D3B510C7855}">
      <formula1>$A$55:$A$57</formula1>
    </dataValidation>
  </dataValidations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a0257f-7168-41c9-be62-2d998bdbb0d5">
      <Terms xmlns="http://schemas.microsoft.com/office/infopath/2007/PartnerControls"/>
    </lcf76f155ced4ddcb4097134ff3c332f>
    <TaxCatchAll xmlns="5547ddd4-500f-49a4-8cd7-6f4c577e7d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C5B29A4DD064409A5FD47DCB05F51C" ma:contentTypeVersion="11" ma:contentTypeDescription="Create a new document." ma:contentTypeScope="" ma:versionID="0d64354e3cd088967dacd3dc4c4974e8">
  <xsd:schema xmlns:xsd="http://www.w3.org/2001/XMLSchema" xmlns:xs="http://www.w3.org/2001/XMLSchema" xmlns:p="http://schemas.microsoft.com/office/2006/metadata/properties" xmlns:ns2="70a0257f-7168-41c9-be62-2d998bdbb0d5" xmlns:ns3="5547ddd4-500f-49a4-8cd7-6f4c577e7ddc" targetNamespace="http://schemas.microsoft.com/office/2006/metadata/properties" ma:root="true" ma:fieldsID="33a9f84628eea147572d6910435bc1e1" ns2:_="" ns3:_="">
    <xsd:import namespace="70a0257f-7168-41c9-be62-2d998bdbb0d5"/>
    <xsd:import namespace="5547ddd4-500f-49a4-8cd7-6f4c577e7d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0257f-7168-41c9-be62-2d998bdbb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1dabfc7-4d85-474f-8eac-7eabbbf89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47ddd4-500f-49a4-8cd7-6f4c577e7dd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18e9e0-6485-4f60-a3a7-096988d56a2e}" ma:internalName="TaxCatchAll" ma:showField="CatchAllData" ma:web="5547ddd4-500f-49a4-8cd7-6f4c577e7d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DD537D-1B64-47B8-B74B-E1988B590BAF}"/>
</file>

<file path=customXml/itemProps2.xml><?xml version="1.0" encoding="utf-8"?>
<ds:datastoreItem xmlns:ds="http://schemas.openxmlformats.org/officeDocument/2006/customXml" ds:itemID="{8CBAEAD5-696F-4767-9F1A-2FED0857EBC9}"/>
</file>

<file path=customXml/itemProps3.xml><?xml version="1.0" encoding="utf-8"?>
<ds:datastoreItem xmlns:ds="http://schemas.openxmlformats.org/officeDocument/2006/customXml" ds:itemID="{F5602669-F7C6-4448-B133-EBEA9416A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Bryan Dumont</cp:lastModifiedBy>
  <cp:revision/>
  <dcterms:created xsi:type="dcterms:W3CDTF">2025-11-06T14:48:21Z</dcterms:created>
  <dcterms:modified xsi:type="dcterms:W3CDTF">2026-01-13T21:02:16Z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0x0101006BC5B29A4DD064409A5FD47DCB05F51C</vt:lpwstr>
  </property>
  <property fmtid="{D5CDD505-2E9C-101B-9397-08002B2CF9AE}" pid="3" name="MediaServiceImageTags">
    <vt:lpwstr/>
  </property>
</Properties>
</file>